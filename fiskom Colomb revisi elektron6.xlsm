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15" windowWidth="15015" windowHeight="5355"/>
  </bookViews>
  <sheets>
    <sheet name="analitik" sheetId="1" r:id="rId1"/>
    <sheet name="Sheet2" sheetId="2" r:id="rId2"/>
    <sheet name="Sheet3" sheetId="3" r:id="rId3"/>
  </sheets>
  <calcPr calcId="124519" refMode="R1C1"/>
</workbook>
</file>

<file path=xl/calcChain.xml><?xml version="1.0" encoding="utf-8"?>
<calcChain xmlns="http://schemas.openxmlformats.org/spreadsheetml/2006/main">
  <c r="S56" i="1"/>
  <c r="T56"/>
  <c r="Y7" l="1"/>
  <c r="Y8" s="1"/>
  <c r="V7"/>
  <c r="T17"/>
  <c r="T18" s="1"/>
  <c r="T19" s="1"/>
  <c r="T20" s="1"/>
  <c r="T21" s="1"/>
  <c r="T22" s="1"/>
  <c r="T23" s="1"/>
  <c r="T24" s="1"/>
  <c r="T25" s="1"/>
  <c r="T26" s="1"/>
  <c r="T27" s="1"/>
  <c r="T28" s="1"/>
  <c r="T29" s="1"/>
  <c r="T30" s="1"/>
  <c r="T31" s="1"/>
  <c r="T32" s="1"/>
  <c r="T33" s="1"/>
  <c r="T34" s="1"/>
  <c r="T35" s="1"/>
  <c r="T36" s="1"/>
  <c r="T37" s="1"/>
  <c r="T38" s="1"/>
  <c r="T39" s="1"/>
  <c r="T40" s="1"/>
  <c r="T41" s="1"/>
  <c r="T42" s="1"/>
  <c r="T43" s="1"/>
  <c r="T44" s="1"/>
  <c r="T45" s="1"/>
  <c r="T46" s="1"/>
  <c r="T47" s="1"/>
  <c r="T48" s="1"/>
  <c r="T49" s="1"/>
  <c r="T50" s="1"/>
  <c r="T51" s="1"/>
  <c r="T52" s="1"/>
  <c r="T53" s="1"/>
  <c r="T54" s="1"/>
  <c r="T55" s="1"/>
  <c r="T15"/>
  <c r="T16" s="1"/>
  <c r="T13"/>
  <c r="T14"/>
  <c r="T11"/>
  <c r="T12" s="1"/>
  <c r="T10"/>
  <c r="T9"/>
  <c r="T8"/>
  <c r="AH7" l="1"/>
  <c r="AC7" s="1"/>
  <c r="V8"/>
  <c r="AK7"/>
  <c r="Q7"/>
  <c r="Q9" s="1"/>
  <c r="Q8"/>
  <c r="Q10" s="1"/>
  <c r="S8"/>
  <c r="S9" s="1"/>
  <c r="S7"/>
  <c r="AK8" l="1"/>
  <c r="AH8"/>
  <c r="AF7"/>
  <c r="Z7"/>
  <c r="W7"/>
  <c r="S10"/>
  <c r="AL7" l="1"/>
  <c r="Z8"/>
  <c r="AE8"/>
  <c r="Y9" s="1"/>
  <c r="AF8"/>
  <c r="AI7"/>
  <c r="AJ7" s="1"/>
  <c r="AC8"/>
  <c r="AB8"/>
  <c r="V9" s="1"/>
  <c r="W8"/>
  <c r="AM7"/>
  <c r="AA7"/>
  <c r="S11"/>
  <c r="AD8" l="1"/>
  <c r="AK9"/>
  <c r="AH9"/>
  <c r="AB9" s="1"/>
  <c r="AG8"/>
  <c r="AL8"/>
  <c r="AM8" s="1"/>
  <c r="AA8"/>
  <c r="X8"/>
  <c r="AI8"/>
  <c r="AJ8" s="1"/>
  <c r="S12"/>
  <c r="Z9" l="1"/>
  <c r="AA9" s="1"/>
  <c r="AF9"/>
  <c r="AE9"/>
  <c r="Y10" s="1"/>
  <c r="W9"/>
  <c r="AC9"/>
  <c r="AD9" s="1"/>
  <c r="V10"/>
  <c r="S13"/>
  <c r="AL9" l="1"/>
  <c r="AM9" s="1"/>
  <c r="AK10"/>
  <c r="AG9"/>
  <c r="X9"/>
  <c r="AI9"/>
  <c r="AJ9" s="1"/>
  <c r="AH10"/>
  <c r="S14"/>
  <c r="AF10" l="1"/>
  <c r="Z10"/>
  <c r="AA10" s="1"/>
  <c r="AE10"/>
  <c r="Y11" s="1"/>
  <c r="W10"/>
  <c r="AC10"/>
  <c r="AB10"/>
  <c r="S15"/>
  <c r="AG10" l="1"/>
  <c r="AL10"/>
  <c r="AM10" s="1"/>
  <c r="AD10"/>
  <c r="AI10"/>
  <c r="AJ10" s="1"/>
  <c r="X10"/>
  <c r="V11"/>
  <c r="AK11" s="1"/>
  <c r="Z11" s="1"/>
  <c r="S16"/>
  <c r="AF11" l="1"/>
  <c r="AE11"/>
  <c r="Y12" s="1"/>
  <c r="AH11"/>
  <c r="S17"/>
  <c r="AG11" l="1"/>
  <c r="AA11"/>
  <c r="AC11"/>
  <c r="W11"/>
  <c r="AL11" s="1"/>
  <c r="AM11" s="1"/>
  <c r="AB11"/>
  <c r="S18"/>
  <c r="AI11" l="1"/>
  <c r="AJ11" s="1"/>
  <c r="V12"/>
  <c r="AK12" s="1"/>
  <c r="Z12" s="1"/>
  <c r="AD11"/>
  <c r="S19"/>
  <c r="AF12" l="1"/>
  <c r="AE12"/>
  <c r="AH12"/>
  <c r="S20"/>
  <c r="AG12" l="1"/>
  <c r="AA12"/>
  <c r="Y13"/>
  <c r="W12"/>
  <c r="AL12" s="1"/>
  <c r="AM12" s="1"/>
  <c r="AC12"/>
  <c r="AB12"/>
  <c r="S21"/>
  <c r="V13" l="1"/>
  <c r="AH13" s="1"/>
  <c r="AB13" s="1"/>
  <c r="AI12"/>
  <c r="AJ12" s="1"/>
  <c r="X12"/>
  <c r="AD12"/>
  <c r="S22"/>
  <c r="AK13" l="1"/>
  <c r="AE13" s="1"/>
  <c r="AC13"/>
  <c r="AD13" s="1"/>
  <c r="W13"/>
  <c r="V14"/>
  <c r="S23"/>
  <c r="Z13" l="1"/>
  <c r="AL13" s="1"/>
  <c r="AM13" s="1"/>
  <c r="AF13"/>
  <c r="AG13" s="1"/>
  <c r="Y14"/>
  <c r="AH14" s="1"/>
  <c r="X13"/>
  <c r="S24"/>
  <c r="AI13" l="1"/>
  <c r="AJ13" s="1"/>
  <c r="AA13"/>
  <c r="AK14"/>
  <c r="AC14"/>
  <c r="W14"/>
  <c r="AB14"/>
  <c r="S25"/>
  <c r="Z14" l="1"/>
  <c r="AI14" s="1"/>
  <c r="AJ14" s="1"/>
  <c r="AF14"/>
  <c r="AE14"/>
  <c r="AD14"/>
  <c r="X14"/>
  <c r="V15"/>
  <c r="S26"/>
  <c r="AG14" l="1"/>
  <c r="AA14"/>
  <c r="AL14"/>
  <c r="AM14" s="1"/>
  <c r="Y15"/>
  <c r="AH15" s="1"/>
  <c r="S27"/>
  <c r="AK15" l="1"/>
  <c r="W15"/>
  <c r="AC15"/>
  <c r="AB15"/>
  <c r="S28"/>
  <c r="AF15" l="1"/>
  <c r="Z15"/>
  <c r="AE15"/>
  <c r="V16"/>
  <c r="X15"/>
  <c r="AD15"/>
  <c r="S29"/>
  <c r="AG15" l="1"/>
  <c r="AA15"/>
  <c r="AL15"/>
  <c r="AM15" s="1"/>
  <c r="Y16"/>
  <c r="AH16" s="1"/>
  <c r="AI15"/>
  <c r="AJ15" s="1"/>
  <c r="S30"/>
  <c r="AK16" l="1"/>
  <c r="W16"/>
  <c r="AC16"/>
  <c r="AB16"/>
  <c r="S31"/>
  <c r="Z16" l="1"/>
  <c r="AF16"/>
  <c r="AE16"/>
  <c r="AD16"/>
  <c r="X16"/>
  <c r="V17"/>
  <c r="S32"/>
  <c r="AG16" l="1"/>
  <c r="AA16"/>
  <c r="AL16"/>
  <c r="AM16" s="1"/>
  <c r="Y17"/>
  <c r="AH17" s="1"/>
  <c r="AI16"/>
  <c r="AJ16" s="1"/>
  <c r="S33"/>
  <c r="AB17" l="1"/>
  <c r="V18" s="1"/>
  <c r="W17"/>
  <c r="X17" s="1"/>
  <c r="AC17"/>
  <c r="AK17"/>
  <c r="S34"/>
  <c r="AF17" l="1"/>
  <c r="Z17"/>
  <c r="AL17" s="1"/>
  <c r="AM17" s="1"/>
  <c r="AE17"/>
  <c r="AD17"/>
  <c r="S35"/>
  <c r="AG17" l="1"/>
  <c r="AA17"/>
  <c r="AI17"/>
  <c r="AJ17" s="1"/>
  <c r="Y18"/>
  <c r="S36"/>
  <c r="AK18" l="1"/>
  <c r="AH18"/>
  <c r="S37"/>
  <c r="AB18" l="1"/>
  <c r="V19" s="1"/>
  <c r="AC18"/>
  <c r="W18"/>
  <c r="Z18"/>
  <c r="AF18"/>
  <c r="AE18"/>
  <c r="S38"/>
  <c r="AG18" l="1"/>
  <c r="AA18"/>
  <c r="AL18"/>
  <c r="AM18" s="1"/>
  <c r="X18"/>
  <c r="AI18"/>
  <c r="AJ18" s="1"/>
  <c r="Y19"/>
  <c r="AH19" s="1"/>
  <c r="AD18"/>
  <c r="S39"/>
  <c r="AC19" l="1"/>
  <c r="W19"/>
  <c r="AB19"/>
  <c r="V20" s="1"/>
  <c r="AK19"/>
  <c r="S40"/>
  <c r="AD19" l="1"/>
  <c r="X19"/>
  <c r="AF19"/>
  <c r="Z19"/>
  <c r="AI19" s="1"/>
  <c r="AJ19" s="1"/>
  <c r="AE19"/>
  <c r="Y20" s="1"/>
  <c r="S41"/>
  <c r="AA19" l="1"/>
  <c r="AL19"/>
  <c r="AM19" s="1"/>
  <c r="AK20"/>
  <c r="AH20"/>
  <c r="AG19"/>
  <c r="S42"/>
  <c r="AB20" l="1"/>
  <c r="V21" s="1"/>
  <c r="AC20"/>
  <c r="W20"/>
  <c r="AF20"/>
  <c r="AE20"/>
  <c r="Z20"/>
  <c r="S43"/>
  <c r="AA20" l="1"/>
  <c r="AL20"/>
  <c r="AM20" s="1"/>
  <c r="Y21"/>
  <c r="AH21" s="1"/>
  <c r="W21" s="1"/>
  <c r="X20"/>
  <c r="AI20"/>
  <c r="AJ20" s="1"/>
  <c r="AD20"/>
  <c r="AG20"/>
  <c r="S44"/>
  <c r="AC21" l="1"/>
  <c r="AK21"/>
  <c r="AB21"/>
  <c r="X21"/>
  <c r="S45"/>
  <c r="AD21" l="1"/>
  <c r="V22"/>
  <c r="AF21"/>
  <c r="Z21"/>
  <c r="AL21" s="1"/>
  <c r="AM21" s="1"/>
  <c r="AE21"/>
  <c r="Y22" s="1"/>
  <c r="S46"/>
  <c r="AG21" l="1"/>
  <c r="AA21"/>
  <c r="AI21"/>
  <c r="AJ21" s="1"/>
  <c r="AK22"/>
  <c r="AH22"/>
  <c r="AB22" s="1"/>
  <c r="S47"/>
  <c r="AE22" l="1"/>
  <c r="Z22"/>
  <c r="AF22"/>
  <c r="W22"/>
  <c r="X22" s="1"/>
  <c r="AC22"/>
  <c r="AD22" s="1"/>
  <c r="V23"/>
  <c r="S48"/>
  <c r="AI22" l="1"/>
  <c r="AJ22" s="1"/>
  <c r="AA22"/>
  <c r="AL22"/>
  <c r="AM22" s="1"/>
  <c r="Y23"/>
  <c r="AG22"/>
  <c r="S49"/>
  <c r="AK23" l="1"/>
  <c r="AH23"/>
  <c r="W23" s="1"/>
  <c r="S50"/>
  <c r="AC23" l="1"/>
  <c r="AB23"/>
  <c r="V24" s="1"/>
  <c r="AF23"/>
  <c r="Z23"/>
  <c r="AI23" s="1"/>
  <c r="AJ23" s="1"/>
  <c r="AE23"/>
  <c r="X23"/>
  <c r="S51"/>
  <c r="AD23" l="1"/>
  <c r="AG23"/>
  <c r="AA23"/>
  <c r="AL23"/>
  <c r="AM23" s="1"/>
  <c r="Y24"/>
  <c r="S52"/>
  <c r="AK24" l="1"/>
  <c r="AH24"/>
  <c r="W24" s="1"/>
  <c r="S53"/>
  <c r="AC24" l="1"/>
  <c r="AB24"/>
  <c r="V25" s="1"/>
  <c r="Z24"/>
  <c r="AF24"/>
  <c r="AE24"/>
  <c r="X24"/>
  <c r="S54"/>
  <c r="AD24" l="1"/>
  <c r="AA24"/>
  <c r="AL24"/>
  <c r="AM24" s="1"/>
  <c r="AG24"/>
  <c r="Y25"/>
  <c r="AI24"/>
  <c r="AJ24" s="1"/>
  <c r="S55"/>
  <c r="AK25" l="1"/>
  <c r="AH25"/>
  <c r="AC25" s="1"/>
  <c r="W25" l="1"/>
  <c r="AB25"/>
  <c r="AD25" s="1"/>
  <c r="AF25"/>
  <c r="Z25"/>
  <c r="AE25"/>
  <c r="V26" l="1"/>
  <c r="AI25"/>
  <c r="AJ25" s="1"/>
  <c r="AA25"/>
  <c r="AL25"/>
  <c r="AM25" s="1"/>
  <c r="X25"/>
  <c r="AG25"/>
  <c r="Y26"/>
  <c r="AK26" l="1"/>
  <c r="AH26"/>
  <c r="W26" s="1"/>
  <c r="AC26" l="1"/>
  <c r="AB26"/>
  <c r="V27" s="1"/>
  <c r="Z26"/>
  <c r="AI26" s="1"/>
  <c r="AJ26" s="1"/>
  <c r="AF26"/>
  <c r="AE26"/>
  <c r="X26"/>
  <c r="AD26" l="1"/>
  <c r="AA26"/>
  <c r="AL26"/>
  <c r="AM26" s="1"/>
  <c r="AG26"/>
  <c r="Y27"/>
  <c r="AK27" l="1"/>
  <c r="AH27"/>
  <c r="W27" s="1"/>
  <c r="AC27" l="1"/>
  <c r="AB27"/>
  <c r="V28" s="1"/>
  <c r="Z27"/>
  <c r="AF27"/>
  <c r="AE27"/>
  <c r="X27"/>
  <c r="AD27" l="1"/>
  <c r="AA27"/>
  <c r="AL27"/>
  <c r="AM27" s="1"/>
  <c r="AG27"/>
  <c r="Y28"/>
  <c r="AI27"/>
  <c r="AJ27" s="1"/>
  <c r="AK28" l="1"/>
  <c r="AH28"/>
  <c r="AC28" s="1"/>
  <c r="W28" l="1"/>
  <c r="AB28"/>
  <c r="AD28" s="1"/>
  <c r="AF28"/>
  <c r="Z28"/>
  <c r="AE28"/>
  <c r="V29" l="1"/>
  <c r="AI28"/>
  <c r="AJ28" s="1"/>
  <c r="AA28"/>
  <c r="AL28"/>
  <c r="AM28" s="1"/>
  <c r="X28"/>
  <c r="AG28"/>
  <c r="Y29"/>
  <c r="AK29" l="1"/>
  <c r="AH29"/>
  <c r="W29" s="1"/>
  <c r="AC29" l="1"/>
  <c r="AB29"/>
  <c r="V30" s="1"/>
  <c r="Z29"/>
  <c r="AF29"/>
  <c r="AE29"/>
  <c r="X29"/>
  <c r="AD29" l="1"/>
  <c r="AA29"/>
  <c r="AL29"/>
  <c r="AM29" s="1"/>
  <c r="AG29"/>
  <c r="Y30"/>
  <c r="AI29"/>
  <c r="AJ29" s="1"/>
  <c r="AK30" l="1"/>
  <c r="AH30"/>
  <c r="W30" s="1"/>
  <c r="AC30" l="1"/>
  <c r="AB30"/>
  <c r="V31" s="1"/>
  <c r="AF30"/>
  <c r="Z30"/>
  <c r="AI30" s="1"/>
  <c r="AJ30" s="1"/>
  <c r="AE30"/>
  <c r="X30"/>
  <c r="AD30" l="1"/>
  <c r="AG30"/>
  <c r="AA30"/>
  <c r="AL30"/>
  <c r="AM30" s="1"/>
  <c r="Y31"/>
  <c r="AK31" l="1"/>
  <c r="AH31"/>
  <c r="W31" s="1"/>
  <c r="AC31" l="1"/>
  <c r="AB31"/>
  <c r="V32" s="1"/>
  <c r="AF31"/>
  <c r="Z31"/>
  <c r="AI31" s="1"/>
  <c r="AJ31" s="1"/>
  <c r="AE31"/>
  <c r="X31"/>
  <c r="AD31" l="1"/>
  <c r="AG31"/>
  <c r="AA31"/>
  <c r="AL31"/>
  <c r="AM31" s="1"/>
  <c r="Y32"/>
  <c r="AK32" l="1"/>
  <c r="AH32"/>
  <c r="AC32" s="1"/>
  <c r="W32" l="1"/>
  <c r="AB32"/>
  <c r="V33" s="1"/>
  <c r="Z32"/>
  <c r="AF32"/>
  <c r="AE32"/>
  <c r="AG32" l="1"/>
  <c r="AD32"/>
  <c r="AI32"/>
  <c r="AJ32" s="1"/>
  <c r="AA32"/>
  <c r="AL32"/>
  <c r="AM32" s="1"/>
  <c r="X32"/>
  <c r="Y33"/>
  <c r="AK33" l="1"/>
  <c r="AH33"/>
  <c r="AC33" s="1"/>
  <c r="W33" l="1"/>
  <c r="AB33"/>
  <c r="AD33" s="1"/>
  <c r="Z33"/>
  <c r="AF33"/>
  <c r="AE33"/>
  <c r="V34" l="1"/>
  <c r="AI33"/>
  <c r="AJ33" s="1"/>
  <c r="AG33"/>
  <c r="AA33"/>
  <c r="AL33"/>
  <c r="AM33" s="1"/>
  <c r="X33"/>
  <c r="Y34"/>
  <c r="AK34" l="1"/>
  <c r="AH34"/>
  <c r="AC34" s="1"/>
  <c r="W34" l="1"/>
  <c r="AB34"/>
  <c r="AD34" s="1"/>
  <c r="AF34"/>
  <c r="Z34"/>
  <c r="AE34"/>
  <c r="Y35" s="1"/>
  <c r="V35" l="1"/>
  <c r="AH35" s="1"/>
  <c r="AI34"/>
  <c r="AJ34" s="1"/>
  <c r="AA34"/>
  <c r="AL34"/>
  <c r="AM34" s="1"/>
  <c r="X34"/>
  <c r="AG34"/>
  <c r="AK35" l="1"/>
  <c r="Z35" s="1"/>
  <c r="W35"/>
  <c r="AC35"/>
  <c r="AB35"/>
  <c r="V36" s="1"/>
  <c r="AE35" l="1"/>
  <c r="Y36" s="1"/>
  <c r="AF35"/>
  <c r="AA35"/>
  <c r="AL35"/>
  <c r="AM35" s="1"/>
  <c r="AD35"/>
  <c r="X35"/>
  <c r="AI35"/>
  <c r="AJ35" s="1"/>
  <c r="AG35" l="1"/>
  <c r="AK36"/>
  <c r="AH36"/>
  <c r="AB36" s="1"/>
  <c r="AC36" l="1"/>
  <c r="AD36" s="1"/>
  <c r="W36"/>
  <c r="AF36"/>
  <c r="Z36"/>
  <c r="AE36"/>
  <c r="Y37" s="1"/>
  <c r="V37"/>
  <c r="AI36" l="1"/>
  <c r="AJ36" s="1"/>
  <c r="AA36"/>
  <c r="AL36"/>
  <c r="AM36" s="1"/>
  <c r="X36"/>
  <c r="AG36"/>
  <c r="AK37"/>
  <c r="AH37"/>
  <c r="AE37" l="1"/>
  <c r="AF37"/>
  <c r="Z37"/>
  <c r="AC37"/>
  <c r="W37"/>
  <c r="AB37"/>
  <c r="AA37" l="1"/>
  <c r="AL37"/>
  <c r="AM37" s="1"/>
  <c r="Y38"/>
  <c r="AG37"/>
  <c r="AD37"/>
  <c r="X37"/>
  <c r="AI37"/>
  <c r="AJ37" s="1"/>
  <c r="V38"/>
  <c r="AK38" l="1"/>
  <c r="AH38"/>
  <c r="AF38" l="1"/>
  <c r="Z38"/>
  <c r="AE38"/>
  <c r="AC38"/>
  <c r="W38"/>
  <c r="AB38"/>
  <c r="AG38" l="1"/>
  <c r="AA38"/>
  <c r="AL38"/>
  <c r="AM38" s="1"/>
  <c r="AD38"/>
  <c r="Y39"/>
  <c r="AI38"/>
  <c r="AJ38" s="1"/>
  <c r="X38"/>
  <c r="V39"/>
  <c r="AH39" l="1"/>
  <c r="AC39" s="1"/>
  <c r="AK39"/>
  <c r="AB39" l="1"/>
  <c r="V40" s="1"/>
  <c r="W39"/>
  <c r="X39" s="1"/>
  <c r="AF39"/>
  <c r="Z39"/>
  <c r="AE39"/>
  <c r="AD39" l="1"/>
  <c r="AI39"/>
  <c r="AJ39" s="1"/>
  <c r="AG39"/>
  <c r="AA39"/>
  <c r="AL39"/>
  <c r="AM39" s="1"/>
  <c r="Y40"/>
  <c r="AK40" l="1"/>
  <c r="AH40"/>
  <c r="W40" s="1"/>
  <c r="AC40" l="1"/>
  <c r="AB40"/>
  <c r="V41" s="1"/>
  <c r="AF40"/>
  <c r="Z40"/>
  <c r="AE40"/>
  <c r="X40"/>
  <c r="AD40" l="1"/>
  <c r="AA40"/>
  <c r="AL40"/>
  <c r="AM40" s="1"/>
  <c r="AG40"/>
  <c r="Y41"/>
  <c r="AI40"/>
  <c r="AJ40" s="1"/>
  <c r="AK41" l="1"/>
  <c r="AH41"/>
  <c r="AC41" s="1"/>
  <c r="AB41" l="1"/>
  <c r="V42" s="1"/>
  <c r="W41"/>
  <c r="X41" s="1"/>
  <c r="Z41"/>
  <c r="AF41"/>
  <c r="AE41"/>
  <c r="AD41" l="1"/>
  <c r="AG41"/>
  <c r="AA41"/>
  <c r="AL41"/>
  <c r="AM41" s="1"/>
  <c r="Y42"/>
  <c r="AH42" s="1"/>
  <c r="AB42" s="1"/>
  <c r="AI41"/>
  <c r="AJ41" s="1"/>
  <c r="AC42" l="1"/>
  <c r="AD42" s="1"/>
  <c r="AK42"/>
  <c r="W42"/>
  <c r="X42" s="1"/>
  <c r="V43"/>
  <c r="Z42" l="1"/>
  <c r="AL42" s="1"/>
  <c r="AM42" s="1"/>
  <c r="AF42"/>
  <c r="AE42"/>
  <c r="AG42" l="1"/>
  <c r="AA42"/>
  <c r="AI42"/>
  <c r="AJ42" s="1"/>
  <c r="Y43"/>
  <c r="AK43" l="1"/>
  <c r="AH43"/>
  <c r="Z43" l="1"/>
  <c r="AF43"/>
  <c r="AE43"/>
  <c r="AB43"/>
  <c r="AC43"/>
  <c r="W43"/>
  <c r="AD43" l="1"/>
  <c r="AG43"/>
  <c r="AA43"/>
  <c r="AL43"/>
  <c r="AM43" s="1"/>
  <c r="Y44"/>
  <c r="X43"/>
  <c r="AI43"/>
  <c r="AJ43" s="1"/>
  <c r="V44"/>
  <c r="AH44" l="1"/>
  <c r="AK44"/>
  <c r="W44" l="1"/>
  <c r="AC44"/>
  <c r="AB44"/>
  <c r="AF44"/>
  <c r="Z44"/>
  <c r="AE44"/>
  <c r="AD44" l="1"/>
  <c r="AA44"/>
  <c r="AL44"/>
  <c r="AM44" s="1"/>
  <c r="AI44"/>
  <c r="AJ44" s="1"/>
  <c r="X44"/>
  <c r="Y45"/>
  <c r="V45"/>
  <c r="AG44"/>
  <c r="AK45" l="1"/>
  <c r="AH45"/>
  <c r="AC45" l="1"/>
  <c r="W45"/>
  <c r="AB45"/>
  <c r="AF45"/>
  <c r="Z45"/>
  <c r="AE45"/>
  <c r="AD45" l="1"/>
  <c r="AA45"/>
  <c r="AL45"/>
  <c r="AM45" s="1"/>
  <c r="AG45"/>
  <c r="Y46"/>
  <c r="X45"/>
  <c r="AI45"/>
  <c r="AJ45" s="1"/>
  <c r="V46"/>
  <c r="AH46" l="1"/>
  <c r="AK46"/>
  <c r="W46" l="1"/>
  <c r="AC46"/>
  <c r="AB46"/>
  <c r="Z46"/>
  <c r="AF46"/>
  <c r="AE46"/>
  <c r="AG46" l="1"/>
  <c r="AD46"/>
  <c r="AA46"/>
  <c r="AL46"/>
  <c r="AM46" s="1"/>
  <c r="V47"/>
  <c r="X46"/>
  <c r="AI46"/>
  <c r="AJ46" s="1"/>
  <c r="Y47"/>
  <c r="AK47" l="1"/>
  <c r="AH47"/>
  <c r="AF47" l="1"/>
  <c r="Z47"/>
  <c r="AE47"/>
  <c r="AC47"/>
  <c r="W47"/>
  <c r="AB47"/>
  <c r="AG47" l="1"/>
  <c r="AA47"/>
  <c r="AL47"/>
  <c r="AM47" s="1"/>
  <c r="X47"/>
  <c r="AI47"/>
  <c r="AJ47" s="1"/>
  <c r="Y48"/>
  <c r="V48"/>
  <c r="AD47"/>
  <c r="AH48" l="1"/>
  <c r="AK48"/>
  <c r="AF48" l="1"/>
  <c r="Z48"/>
  <c r="AE48"/>
  <c r="AC48"/>
  <c r="W48"/>
  <c r="AB48"/>
  <c r="V49" s="1"/>
  <c r="AG48" l="1"/>
  <c r="AA48"/>
  <c r="AL48"/>
  <c r="AM48" s="1"/>
  <c r="AI48"/>
  <c r="AJ48" s="1"/>
  <c r="X48"/>
  <c r="Y49"/>
  <c r="AK49" s="1"/>
  <c r="AE49" s="1"/>
  <c r="Y50" s="1"/>
  <c r="AD48"/>
  <c r="AH49" l="1"/>
  <c r="AC49" s="1"/>
  <c r="Z49"/>
  <c r="AF49"/>
  <c r="AG49" s="1"/>
  <c r="W49" l="1"/>
  <c r="AL49" s="1"/>
  <c r="AM49" s="1"/>
  <c r="AB49"/>
  <c r="V50" s="1"/>
  <c r="AK50" s="1"/>
  <c r="Z50" s="1"/>
  <c r="AA49"/>
  <c r="AI49" l="1"/>
  <c r="AJ49" s="1"/>
  <c r="X49"/>
  <c r="AF50"/>
  <c r="AD49"/>
  <c r="AH50"/>
  <c r="W50" s="1"/>
  <c r="AL50" s="1"/>
  <c r="AM50" s="1"/>
  <c r="AE50"/>
  <c r="Y51" s="1"/>
  <c r="AA50"/>
  <c r="AG50" l="1"/>
  <c r="AC50"/>
  <c r="AB50"/>
  <c r="V51" s="1"/>
  <c r="X50"/>
  <c r="AI50"/>
  <c r="AJ50" s="1"/>
  <c r="AD50" l="1"/>
  <c r="AH51"/>
  <c r="AK51"/>
  <c r="AF51" l="1"/>
  <c r="Z51"/>
  <c r="AE51"/>
  <c r="W51"/>
  <c r="AC51"/>
  <c r="AB51"/>
  <c r="AD51" l="1"/>
  <c r="AG51"/>
  <c r="AA51"/>
  <c r="AL51"/>
  <c r="AM51" s="1"/>
  <c r="V52"/>
  <c r="Y52"/>
  <c r="AI51"/>
  <c r="AJ51" s="1"/>
  <c r="X51"/>
  <c r="AH52" l="1"/>
  <c r="AK52"/>
  <c r="AC52" l="1"/>
  <c r="W52"/>
  <c r="AB52"/>
  <c r="V53" s="1"/>
  <c r="AF52"/>
  <c r="Z52"/>
  <c r="AE52"/>
  <c r="AD52" l="1"/>
  <c r="AA52"/>
  <c r="AL52"/>
  <c r="AM52" s="1"/>
  <c r="Y53"/>
  <c r="AI52"/>
  <c r="AJ52" s="1"/>
  <c r="X52"/>
  <c r="AG52"/>
  <c r="AK53" l="1"/>
  <c r="AH53"/>
  <c r="Z53" l="1"/>
  <c r="AF53"/>
  <c r="AE53"/>
  <c r="AB53"/>
  <c r="V54" s="1"/>
  <c r="AC53"/>
  <c r="W53"/>
  <c r="AD53" l="1"/>
  <c r="AA53"/>
  <c r="AL53"/>
  <c r="AM53" s="1"/>
  <c r="Y54"/>
  <c r="AH54" s="1"/>
  <c r="X53"/>
  <c r="AI53"/>
  <c r="AJ53" s="1"/>
  <c r="AG53"/>
  <c r="AB54" l="1"/>
  <c r="V55" s="1"/>
  <c r="W54"/>
  <c r="AC54"/>
  <c r="AK54"/>
  <c r="Z54" l="1"/>
  <c r="AF54"/>
  <c r="AE54"/>
  <c r="AD54"/>
  <c r="X54"/>
  <c r="AG54" l="1"/>
  <c r="AA54"/>
  <c r="AL54"/>
  <c r="AM54" s="1"/>
  <c r="Y55"/>
  <c r="AI54"/>
  <c r="AJ54" s="1"/>
  <c r="AK55" l="1"/>
  <c r="AH55"/>
  <c r="AF55" l="1"/>
  <c r="Z55"/>
  <c r="AE55"/>
  <c r="Y56" s="1"/>
  <c r="AB55"/>
  <c r="V56" s="1"/>
  <c r="AC55"/>
  <c r="W55"/>
  <c r="AK56" l="1"/>
  <c r="AE56" s="1"/>
  <c r="AD55"/>
  <c r="AG55"/>
  <c r="AA55"/>
  <c r="AL55"/>
  <c r="AM55" s="1"/>
  <c r="X55"/>
  <c r="AI55"/>
  <c r="AJ55" s="1"/>
  <c r="AH56"/>
  <c r="Z56" l="1"/>
  <c r="AA56" s="1"/>
  <c r="AF56"/>
  <c r="AG56" s="1"/>
  <c r="AB56"/>
  <c r="AC56"/>
  <c r="W56"/>
  <c r="AL56" l="1"/>
  <c r="AM56" s="1"/>
  <c r="AI56"/>
  <c r="AJ56" s="1"/>
  <c r="X56"/>
  <c r="AD56"/>
</calcChain>
</file>

<file path=xl/sharedStrings.xml><?xml version="1.0" encoding="utf-8"?>
<sst xmlns="http://schemas.openxmlformats.org/spreadsheetml/2006/main" count="71" uniqueCount="44">
  <si>
    <t>Benda 1</t>
  </si>
  <si>
    <t>xo</t>
  </si>
  <si>
    <t>yo</t>
  </si>
  <si>
    <t>Benda 2</t>
  </si>
  <si>
    <t>t</t>
  </si>
  <si>
    <t>Input Nilai</t>
  </si>
  <si>
    <t>r</t>
  </si>
  <si>
    <t>No</t>
  </si>
  <si>
    <t>Besaran</t>
  </si>
  <si>
    <t>Nilai</t>
  </si>
  <si>
    <t>Konstanta</t>
  </si>
  <si>
    <t>No.</t>
  </si>
  <si>
    <t>Input Posisi masing masing Muatan</t>
  </si>
  <si>
    <t>Output Nilai</t>
  </si>
  <si>
    <t>Percepatan benda 1</t>
  </si>
  <si>
    <t>Percepatan benda 2</t>
  </si>
  <si>
    <t>waktu ke-</t>
  </si>
  <si>
    <t>Massa benda1(kg)</t>
  </si>
  <si>
    <t>massa benda 2(kg)</t>
  </si>
  <si>
    <t>NO.</t>
  </si>
  <si>
    <t>Waktu (sekon)</t>
  </si>
  <si>
    <t>posisi benda 2</t>
  </si>
  <si>
    <t>HUKUM COULOMB</t>
  </si>
  <si>
    <t>Posisi benda 1</t>
  </si>
  <si>
    <t>Gaya coulomb21</t>
  </si>
  <si>
    <t>Gaya Coulomb12</t>
  </si>
  <si>
    <t>Muatan 1</t>
  </si>
  <si>
    <t>Muatan 2</t>
  </si>
  <si>
    <t>i</t>
  </si>
  <si>
    <t>Analisis Numerik Metode Auler</t>
  </si>
  <si>
    <t>Waktu ke-</t>
  </si>
  <si>
    <t>h</t>
  </si>
  <si>
    <t>Metode Auler</t>
  </si>
  <si>
    <t>Analitik</t>
  </si>
  <si>
    <t>Error</t>
  </si>
  <si>
    <t>X2(Posisi muatan 2)</t>
  </si>
  <si>
    <t>X1(posisi muatan 1)</t>
  </si>
  <si>
    <t>X1'(kecepatan)</t>
  </si>
  <si>
    <t>X2'(kecepatan)</t>
  </si>
  <si>
    <t>X1''Percepatan)</t>
  </si>
  <si>
    <t>Metode Analitik</t>
  </si>
  <si>
    <t>X2''(Percepatan)</t>
  </si>
  <si>
    <t xml:space="preserve"> </t>
  </si>
  <si>
    <t>[[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</si>
</sst>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18"/>
      <color theme="1"/>
      <name val="Cambria"/>
      <family val="1"/>
      <scheme val="major"/>
    </font>
    <font>
      <b/>
      <sz val="14"/>
      <color theme="1"/>
      <name val="Calibri"/>
      <family val="2"/>
      <scheme val="minor"/>
    </font>
    <font>
      <sz val="14"/>
      <color theme="1"/>
      <name val="Cambria"/>
      <family val="1"/>
      <scheme val="major"/>
    </font>
    <font>
      <sz val="14"/>
      <color theme="1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z val="12"/>
      <color theme="1"/>
      <name val="Cambria"/>
      <family val="1"/>
      <scheme val="major"/>
    </font>
    <font>
      <b/>
      <sz val="72"/>
      <color theme="9" tint="0.79998168889431442"/>
      <name val="Cambria"/>
      <family val="1"/>
      <scheme val="major"/>
    </font>
    <font>
      <sz val="11"/>
      <color theme="9" tint="0.79998168889431442"/>
      <name val="Calibri"/>
      <family val="2"/>
      <scheme val="minor"/>
    </font>
    <font>
      <b/>
      <sz val="48"/>
      <color theme="5" tint="0.59999389629810485"/>
      <name val="Cambria"/>
      <family val="1"/>
      <scheme val="major"/>
    </font>
    <font>
      <b/>
      <sz val="11"/>
      <color theme="1"/>
      <name val="Calibri"/>
      <family val="2"/>
      <scheme val="minor"/>
    </font>
    <font>
      <b/>
      <sz val="18"/>
      <color theme="1"/>
      <name val="Cambria"/>
      <family val="1"/>
      <scheme val="major"/>
    </font>
    <font>
      <b/>
      <sz val="18"/>
      <color rgb="FFFF0000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0" fillId="0" borderId="1" xfId="0" applyBorder="1"/>
    <xf numFmtId="0" fontId="1" fillId="2" borderId="1" xfId="0" applyFont="1" applyFill="1" applyBorder="1"/>
    <xf numFmtId="0" fontId="1" fillId="2" borderId="1" xfId="0" applyFont="1" applyFill="1" applyBorder="1" applyAlignment="1"/>
    <xf numFmtId="0" fontId="1" fillId="2" borderId="6" xfId="0" applyFont="1" applyFill="1" applyBorder="1" applyAlignment="1"/>
    <xf numFmtId="0" fontId="3" fillId="0" borderId="1" xfId="0" applyFont="1" applyBorder="1"/>
    <xf numFmtId="11" fontId="3" fillId="0" borderId="1" xfId="0" applyNumberFormat="1" applyFont="1" applyBorder="1"/>
    <xf numFmtId="0" fontId="5" fillId="0" borderId="1" xfId="0" applyFont="1" applyBorder="1"/>
    <xf numFmtId="0" fontId="5" fillId="0" borderId="1" xfId="0" applyNumberFormat="1" applyFont="1" applyBorder="1"/>
    <xf numFmtId="0" fontId="5" fillId="0" borderId="4" xfId="0" applyFont="1" applyBorder="1"/>
    <xf numFmtId="0" fontId="3" fillId="0" borderId="1" xfId="0" applyNumberFormat="1" applyFont="1" applyBorder="1"/>
    <xf numFmtId="0" fontId="3" fillId="0" borderId="2" xfId="0" applyFont="1" applyFill="1" applyBorder="1"/>
    <xf numFmtId="0" fontId="3" fillId="0" borderId="1" xfId="0" applyFont="1" applyFill="1" applyBorder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5" fillId="0" borderId="3" xfId="0" applyFont="1" applyBorder="1"/>
    <xf numFmtId="0" fontId="4" fillId="0" borderId="1" xfId="0" applyFont="1" applyBorder="1"/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5" borderId="0" xfId="0" applyFill="1"/>
    <xf numFmtId="0" fontId="0" fillId="5" borderId="0" xfId="0" applyFill="1" applyBorder="1"/>
    <xf numFmtId="0" fontId="0" fillId="5" borderId="8" xfId="0" applyFill="1" applyBorder="1"/>
    <xf numFmtId="0" fontId="2" fillId="5" borderId="8" xfId="0" applyFont="1" applyFill="1" applyBorder="1"/>
    <xf numFmtId="0" fontId="5" fillId="5" borderId="0" xfId="0" applyFont="1" applyFill="1" applyBorder="1"/>
    <xf numFmtId="0" fontId="2" fillId="5" borderId="0" xfId="0" applyFont="1" applyFill="1" applyBorder="1"/>
    <xf numFmtId="0" fontId="6" fillId="0" borderId="1" xfId="0" applyFont="1" applyBorder="1" applyAlignment="1">
      <alignment horizontal="center"/>
    </xf>
    <xf numFmtId="0" fontId="6" fillId="0" borderId="1" xfId="0" applyFont="1" applyBorder="1"/>
    <xf numFmtId="0" fontId="3" fillId="0" borderId="2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/>
    </xf>
    <xf numFmtId="0" fontId="6" fillId="5" borderId="0" xfId="0" applyFont="1" applyFill="1" applyBorder="1" applyAlignment="1">
      <alignment horizontal="center"/>
    </xf>
    <xf numFmtId="0" fontId="10" fillId="5" borderId="0" xfId="0" applyFont="1" applyFill="1" applyBorder="1" applyAlignment="1">
      <alignment horizontal="center"/>
    </xf>
    <xf numFmtId="0" fontId="9" fillId="5" borderId="0" xfId="0" applyFont="1" applyFill="1" applyAlignment="1">
      <alignment vertical="center"/>
    </xf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/>
    <xf numFmtId="0" fontId="11" fillId="2" borderId="1" xfId="0" applyFont="1" applyFill="1" applyBorder="1" applyAlignment="1">
      <alignment horizontal="center"/>
    </xf>
    <xf numFmtId="0" fontId="11" fillId="2" borderId="1" xfId="0" applyFont="1" applyFill="1" applyBorder="1"/>
    <xf numFmtId="0" fontId="10" fillId="6" borderId="1" xfId="0" applyFont="1" applyFill="1" applyBorder="1"/>
    <xf numFmtId="0" fontId="10" fillId="5" borderId="0" xfId="0" applyFont="1" applyFill="1"/>
    <xf numFmtId="0" fontId="13" fillId="0" borderId="1" xfId="0" applyFont="1" applyBorder="1" applyAlignment="1">
      <alignment horizontal="center"/>
    </xf>
    <xf numFmtId="0" fontId="14" fillId="6" borderId="1" xfId="0" applyFont="1" applyFill="1" applyBorder="1"/>
    <xf numFmtId="0" fontId="13" fillId="6" borderId="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 vertical="center"/>
    </xf>
    <xf numFmtId="0" fontId="5" fillId="4" borderId="7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/>
    </xf>
    <xf numFmtId="0" fontId="0" fillId="5" borderId="0" xfId="0" applyFill="1" applyBorder="1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/>
    </xf>
    <xf numFmtId="0" fontId="1" fillId="2" borderId="1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11" fillId="3" borderId="3" xfId="0" applyFont="1" applyFill="1" applyBorder="1" applyAlignment="1">
      <alignment horizontal="center"/>
    </xf>
    <xf numFmtId="0" fontId="11" fillId="3" borderId="7" xfId="0" applyFont="1" applyFill="1" applyBorder="1" applyAlignment="1">
      <alignment horizontal="center"/>
    </xf>
    <xf numFmtId="0" fontId="11" fillId="3" borderId="3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16711680"/>
  <ax:ocxPr ax:name="BackColor" ax:value="12583104"/>
  <ax:ocxPr ax:name="Caption" ax:value="HUKUM COULOMB"/>
  <ax:ocxPr ax:name="Size" ax:value="13203;2090"/>
  <ax:ocxPr ax:name="FontName" ax:value="Cambria"/>
  <ax:ocxPr ax:name="FontEffects" ax:value="1073741827"/>
  <ax:ocxPr ax:name="FontHeight" ax:value="405"/>
  <ax:ocxPr ax:name="FontCharSet" ax:value="0"/>
  <ax:ocxPr ax:name="FontPitchAndFamily" ax:value="2"/>
  <ax:ocxPr ax:name="ParagraphAlign" ax:value="3"/>
  <ax:ocxPr ax:name="FontWeight" ax:value="700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2000">
                <a:solidFill>
                  <a:srgbClr val="FF0000"/>
                </a:solidFill>
                <a:latin typeface="+mj-lt"/>
              </a:defRPr>
            </a:pPr>
            <a:r>
              <a:rPr lang="en-US" sz="2000">
                <a:solidFill>
                  <a:srgbClr val="FF0000"/>
                </a:solidFill>
                <a:latin typeface="+mj-lt"/>
              </a:rPr>
              <a:t>Gerak</a:t>
            </a:r>
            <a:r>
              <a:rPr lang="en-US" sz="2000" baseline="0">
                <a:solidFill>
                  <a:srgbClr val="FF0000"/>
                </a:solidFill>
                <a:latin typeface="+mj-lt"/>
              </a:rPr>
              <a:t> 2 Muatan</a:t>
            </a:r>
            <a:endParaRPr lang="en-US" sz="2000">
              <a:solidFill>
                <a:srgbClr val="FF0000"/>
              </a:solidFill>
              <a:latin typeface="+mj-lt"/>
            </a:endParaRPr>
          </a:p>
        </c:rich>
      </c:tx>
      <c:layout>
        <c:manualLayout>
          <c:xMode val="edge"/>
          <c:yMode val="edge"/>
          <c:x val="0.33824128566915396"/>
          <c:y val="4.715450414625471E-2"/>
        </c:manualLayout>
      </c:layout>
    </c:title>
    <c:plotArea>
      <c:layout>
        <c:manualLayout>
          <c:layoutTarget val="inner"/>
          <c:xMode val="edge"/>
          <c:yMode val="edge"/>
          <c:x val="5.8972691294820995E-2"/>
          <c:y val="1.5349550520398221E-3"/>
          <c:w val="0.9397062047796535"/>
          <c:h val="0.93406216127038322"/>
        </c:manualLayout>
      </c:layout>
      <c:scatterChart>
        <c:scatterStyle val="smoothMarker"/>
        <c:ser>
          <c:idx val="0"/>
          <c:order val="0"/>
          <c:tx>
            <c:v>Benda satu biru</c:v>
          </c:tx>
          <c:marker>
            <c:symbol val="circle"/>
            <c:size val="27"/>
            <c:spPr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</c:marker>
          <c:dLbls>
            <c:delete val="1"/>
          </c:dLbls>
          <c:xVal>
            <c:numRef>
              <c:f>analitik!$Q$11</c:f>
              <c:numCache>
                <c:formatCode>General</c:formatCode>
                <c:ptCount val="1"/>
                <c:pt idx="0">
                  <c:v>377.45982766320645</c:v>
                </c:pt>
              </c:numCache>
            </c:numRef>
          </c:xVal>
          <c:yVal>
            <c:numRef>
              <c:f>analitik!$G$8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Benda 2 merah</c:v>
          </c:tx>
          <c:marker>
            <c:symbol val="circle"/>
            <c:size val="27"/>
            <c:spPr>
              <a:scene3d>
                <a:camera prst="orthographicFront"/>
                <a:lightRig rig="threePt" dir="t"/>
              </a:scene3d>
              <a:sp3d>
                <a:bevelT w="165100" prst="coolSlant"/>
              </a:sp3d>
            </c:spPr>
          </c:marker>
          <c:dLbls>
            <c:delete val="1"/>
          </c:dLbls>
          <c:xVal>
            <c:numRef>
              <c:f>analitik!$Q$12</c:f>
              <c:numCache>
                <c:formatCode>General</c:formatCode>
                <c:ptCount val="1"/>
                <c:pt idx="0">
                  <c:v>37.916442762612775</c:v>
                </c:pt>
              </c:numCache>
            </c:numRef>
          </c:xVal>
          <c:yVal>
            <c:numRef>
              <c:f>analitik!$I$8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dLbls>
          <c:showVal val="1"/>
          <c:showCatName val="1"/>
        </c:dLbls>
        <c:axId val="54567680"/>
        <c:axId val="54569600"/>
      </c:scatterChart>
      <c:valAx>
        <c:axId val="54567680"/>
        <c:scaling>
          <c:orientation val="minMax"/>
          <c:max val="100"/>
          <c:min val="-100"/>
        </c:scaling>
        <c:delete val="1"/>
        <c:axPos val="b"/>
        <c:numFmt formatCode="General" sourceLinked="1"/>
        <c:tickLblPos val="nextTo"/>
        <c:crossAx val="54569600"/>
        <c:crosses val="autoZero"/>
        <c:crossBetween val="midCat"/>
        <c:majorUnit val="20"/>
        <c:minorUnit val="2"/>
      </c:valAx>
      <c:valAx>
        <c:axId val="54569600"/>
        <c:scaling>
          <c:orientation val="minMax"/>
          <c:max val="1"/>
          <c:min val="-1"/>
        </c:scaling>
        <c:delete val="1"/>
        <c:axPos val="l"/>
        <c:numFmt formatCode="General" sourceLinked="1"/>
        <c:tickLblPos val="nextTo"/>
        <c:crossAx val="54567680"/>
        <c:crosses val="autoZero"/>
        <c:crossBetween val="midCat"/>
        <c:majorUnit val="0.1"/>
        <c:minorUnit val="2.0000000000000011E-2"/>
      </c:valAx>
      <c:spPr>
        <a:noFill/>
        <a:ln w="25400">
          <a:noFill/>
        </a:ln>
      </c:spPr>
    </c:plotArea>
    <c:plotVisOnly val="1"/>
  </c:chart>
  <c:spPr>
    <a:solidFill>
      <a:schemeClr val="tx1"/>
    </a:solidFill>
  </c:spPr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5.5756556618715529E-2"/>
          <c:y val="1.8932433719870731E-2"/>
          <c:w val="0.86299015741290064"/>
          <c:h val="0.86884160944723166"/>
        </c:manualLayout>
      </c:layout>
      <c:scatterChart>
        <c:scatterStyle val="smoothMarker"/>
        <c:ser>
          <c:idx val="0"/>
          <c:order val="0"/>
          <c:tx>
            <c:v>benda1</c:v>
          </c:tx>
          <c:xVal>
            <c:numRef>
              <c:f>analitik!$Q$11</c:f>
              <c:numCache>
                <c:formatCode>General</c:formatCode>
                <c:ptCount val="1"/>
                <c:pt idx="0">
                  <c:v>377.45982766320645</c:v>
                </c:pt>
              </c:numCache>
            </c:numRef>
          </c:xVal>
          <c:yVal>
            <c:numRef>
              <c:f>analitik!$G$8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v>benda2</c:v>
          </c:tx>
          <c:xVal>
            <c:numRef>
              <c:f>analitik!$Q$12</c:f>
              <c:numCache>
                <c:formatCode>General</c:formatCode>
                <c:ptCount val="1"/>
                <c:pt idx="0">
                  <c:v>37.916442762612775</c:v>
                </c:pt>
              </c:numCache>
            </c:numRef>
          </c:xVal>
          <c:yVal>
            <c:numRef>
              <c:f>analitik!$I$8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</c:ser>
        <c:axId val="59460992"/>
        <c:axId val="76611968"/>
      </c:scatterChart>
      <c:valAx>
        <c:axId val="59460992"/>
        <c:scaling>
          <c:orientation val="minMax"/>
        </c:scaling>
        <c:axPos val="b"/>
        <c:numFmt formatCode="General" sourceLinked="1"/>
        <c:tickLblPos val="nextTo"/>
        <c:crossAx val="76611968"/>
        <c:crosses val="autoZero"/>
        <c:crossBetween val="midCat"/>
      </c:valAx>
      <c:valAx>
        <c:axId val="76611968"/>
        <c:scaling>
          <c:orientation val="minMax"/>
        </c:scaling>
        <c:axPos val="l"/>
        <c:majorGridlines/>
        <c:numFmt formatCode="General" sourceLinked="1"/>
        <c:tickLblPos val="nextTo"/>
        <c:crossAx val="59460992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1127450</xdr:colOff>
      <xdr:row>0</xdr:row>
      <xdr:rowOff>97193</xdr:rowOff>
    </xdr:from>
    <xdr:to>
      <xdr:col>18</xdr:col>
      <xdr:colOff>38877</xdr:colOff>
      <xdr:row>3</xdr:row>
      <xdr:rowOff>311022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384889</xdr:colOff>
      <xdr:row>9</xdr:row>
      <xdr:rowOff>15746</xdr:rowOff>
    </xdr:from>
    <xdr:to>
      <xdr:col>11</xdr:col>
      <xdr:colOff>1510395</xdr:colOff>
      <xdr:row>26</xdr:row>
      <xdr:rowOff>204106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D156"/>
  <sheetViews>
    <sheetView tabSelected="1" topLeftCell="A4" zoomScale="70" zoomScaleNormal="70" workbookViewId="0">
      <selection activeCell="D9" sqref="D9"/>
    </sheetView>
  </sheetViews>
  <sheetFormatPr defaultRowHeight="15"/>
  <cols>
    <col min="1" max="1" width="9.28515625" bestFit="1" customWidth="1"/>
    <col min="2" max="2" width="34" customWidth="1"/>
    <col min="3" max="3" width="19" customWidth="1"/>
    <col min="4" max="4" width="24.5703125" customWidth="1"/>
    <col min="5" max="5" width="13.7109375" customWidth="1"/>
    <col min="6" max="6" width="10.140625" customWidth="1"/>
    <col min="7" max="7" width="19.28515625" customWidth="1"/>
    <col min="8" max="8" width="16.7109375" customWidth="1"/>
    <col min="9" max="9" width="13.85546875" customWidth="1"/>
    <col min="12" max="12" width="23.140625" customWidth="1"/>
    <col min="13" max="13" width="21.140625" customWidth="1"/>
    <col min="15" max="15" width="12.85546875" customWidth="1"/>
    <col min="16" max="16" width="29.42578125" customWidth="1"/>
    <col min="17" max="17" width="32.28515625" customWidth="1"/>
    <col min="19" max="19" width="11.42578125" customWidth="1"/>
    <col min="20" max="21" width="17.42578125" customWidth="1"/>
    <col min="22" max="22" width="23" customWidth="1"/>
    <col min="23" max="23" width="29.85546875" customWidth="1"/>
    <col min="24" max="24" width="20" customWidth="1"/>
    <col min="25" max="25" width="23.42578125" customWidth="1"/>
    <col min="26" max="26" width="21.42578125" customWidth="1"/>
    <col min="27" max="27" width="20.28515625" customWidth="1"/>
    <col min="28" max="28" width="25.7109375" customWidth="1"/>
    <col min="29" max="29" width="17.140625" customWidth="1"/>
    <col min="30" max="30" width="23.85546875" customWidth="1"/>
    <col min="31" max="31" width="24.5703125" customWidth="1"/>
    <col min="32" max="32" width="21.5703125" customWidth="1"/>
    <col min="33" max="33" width="16.42578125" customWidth="1"/>
    <col min="34" max="34" width="28.42578125" customWidth="1"/>
    <col min="35" max="35" width="28" customWidth="1"/>
    <col min="36" max="36" width="21.5703125" customWidth="1"/>
    <col min="37" max="37" width="38.42578125" customWidth="1"/>
    <col min="38" max="39" width="28.42578125" customWidth="1"/>
    <col min="43" max="43" width="16.28515625" customWidth="1"/>
    <col min="44" max="44" width="15.28515625" customWidth="1"/>
    <col min="45" max="45" width="19.140625" customWidth="1"/>
    <col min="46" max="46" width="22.42578125" customWidth="1"/>
    <col min="47" max="47" width="29.85546875" customWidth="1"/>
  </cols>
  <sheetData>
    <row r="1" spans="1:82" ht="53.25" customHeight="1">
      <c r="A1" s="19"/>
      <c r="B1" s="19"/>
      <c r="C1" s="19"/>
      <c r="D1" s="19"/>
      <c r="E1" s="19"/>
      <c r="F1" s="46" t="s">
        <v>22</v>
      </c>
      <c r="G1" s="47"/>
      <c r="H1" s="47"/>
      <c r="I1" s="47"/>
      <c r="J1" s="47"/>
      <c r="K1" s="47"/>
      <c r="L1" s="47"/>
      <c r="M1" s="47"/>
      <c r="N1" s="47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</row>
    <row r="2" spans="1:82" ht="60.75">
      <c r="A2" s="19"/>
      <c r="B2" s="49"/>
      <c r="C2" s="49"/>
      <c r="D2" s="49"/>
      <c r="E2" s="49"/>
      <c r="F2" s="47"/>
      <c r="G2" s="47"/>
      <c r="H2" s="47"/>
      <c r="I2" s="47"/>
      <c r="J2" s="47"/>
      <c r="K2" s="47"/>
      <c r="L2" s="47"/>
      <c r="M2" s="47"/>
      <c r="N2" s="47"/>
      <c r="O2" s="19"/>
      <c r="P2" s="19"/>
      <c r="Q2" s="19"/>
      <c r="R2" s="19"/>
      <c r="S2" s="56" t="s">
        <v>29</v>
      </c>
      <c r="T2" s="56"/>
      <c r="U2" s="56"/>
      <c r="V2" s="56"/>
      <c r="W2" s="56"/>
      <c r="X2" s="56"/>
      <c r="Y2" s="56"/>
      <c r="Z2" s="56"/>
      <c r="AA2" s="56"/>
      <c r="AB2" s="19"/>
      <c r="AC2" s="19"/>
      <c r="AD2" s="19"/>
      <c r="AE2" s="48"/>
      <c r="AF2" s="48"/>
      <c r="AG2" s="48"/>
      <c r="AH2" s="48"/>
      <c r="AI2" s="48"/>
      <c r="AJ2" s="48"/>
      <c r="AK2" s="48"/>
      <c r="AL2" s="48"/>
      <c r="AM2" s="28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</row>
    <row r="3" spans="1:82" ht="60.75">
      <c r="A3" s="19"/>
      <c r="B3" s="20"/>
      <c r="C3" s="20"/>
      <c r="D3" s="20"/>
      <c r="E3" s="20"/>
      <c r="F3" s="47"/>
      <c r="G3" s="47"/>
      <c r="H3" s="47"/>
      <c r="I3" s="47"/>
      <c r="J3" s="47"/>
      <c r="K3" s="47"/>
      <c r="L3" s="47"/>
      <c r="M3" s="47"/>
      <c r="N3" s="47"/>
      <c r="O3" s="19"/>
      <c r="P3" s="19"/>
      <c r="Q3" s="19"/>
      <c r="R3" s="19"/>
      <c r="S3" s="31"/>
      <c r="T3" s="31"/>
      <c r="U3" s="31"/>
      <c r="V3" s="31"/>
      <c r="W3" s="31"/>
      <c r="X3" s="31"/>
      <c r="Y3" s="31"/>
      <c r="Z3" s="31"/>
      <c r="AA3" s="31"/>
      <c r="AB3" s="19"/>
      <c r="AC3" s="19"/>
      <c r="AD3" s="19"/>
      <c r="AE3" s="48"/>
      <c r="AF3" s="48"/>
      <c r="AG3" s="48"/>
      <c r="AH3" s="48"/>
      <c r="AI3" s="48"/>
      <c r="AJ3" s="48"/>
      <c r="AK3" s="48"/>
      <c r="AL3" s="48"/>
      <c r="AM3" s="28"/>
      <c r="AN3" s="20"/>
      <c r="AO3" s="20"/>
      <c r="AP3" s="20"/>
      <c r="AQ3" s="20"/>
      <c r="AR3" s="20"/>
      <c r="AS3" s="20"/>
      <c r="AT3" s="20"/>
      <c r="AU3" s="20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</row>
    <row r="4" spans="1:82" ht="60.75">
      <c r="A4" s="19"/>
      <c r="B4" s="20"/>
      <c r="C4" s="20"/>
      <c r="D4" s="20"/>
      <c r="E4" s="20"/>
      <c r="F4" s="19"/>
      <c r="G4" s="19">
        <v>1</v>
      </c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31"/>
      <c r="T4" s="31"/>
      <c r="U4" s="31"/>
      <c r="V4" s="31"/>
      <c r="W4" s="31"/>
      <c r="X4" s="31"/>
      <c r="Y4" s="31"/>
      <c r="Z4" s="31"/>
      <c r="AA4" s="31"/>
      <c r="AB4" s="19"/>
      <c r="AC4" s="19"/>
      <c r="AD4" s="19"/>
      <c r="AE4" s="48"/>
      <c r="AF4" s="48"/>
      <c r="AG4" s="48"/>
      <c r="AH4" s="48"/>
      <c r="AI4" s="48"/>
      <c r="AJ4" s="48"/>
      <c r="AK4" s="48"/>
      <c r="AL4" s="48"/>
      <c r="AM4" s="28"/>
      <c r="AN4" s="20"/>
      <c r="AO4" s="30"/>
      <c r="AP4" s="30"/>
      <c r="AQ4" s="30"/>
      <c r="AR4" s="30"/>
      <c r="AS4" s="30"/>
      <c r="AT4" s="30"/>
      <c r="AU4" s="30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</row>
    <row r="5" spans="1:82" ht="22.5">
      <c r="A5" s="41" t="s">
        <v>5</v>
      </c>
      <c r="B5" s="51"/>
      <c r="C5" s="52"/>
      <c r="D5" s="19"/>
      <c r="E5" s="54" t="s">
        <v>7</v>
      </c>
      <c r="F5" s="41" t="s">
        <v>12</v>
      </c>
      <c r="G5" s="42"/>
      <c r="H5" s="42"/>
      <c r="I5" s="43"/>
      <c r="J5" s="19"/>
      <c r="K5" s="41" t="s">
        <v>10</v>
      </c>
      <c r="L5" s="42"/>
      <c r="M5" s="43"/>
      <c r="N5" s="19"/>
      <c r="O5" s="41" t="s">
        <v>13</v>
      </c>
      <c r="P5" s="42"/>
      <c r="Q5" s="43"/>
      <c r="R5" s="19"/>
      <c r="S5" s="57" t="s">
        <v>28</v>
      </c>
      <c r="T5" s="59" t="s">
        <v>30</v>
      </c>
      <c r="U5" s="59" t="s">
        <v>31</v>
      </c>
      <c r="V5" s="61" t="s">
        <v>36</v>
      </c>
      <c r="W5" s="62"/>
      <c r="X5" s="63" t="s">
        <v>34</v>
      </c>
      <c r="Y5" s="61" t="s">
        <v>35</v>
      </c>
      <c r="Z5" s="62"/>
      <c r="AA5" s="65" t="s">
        <v>34</v>
      </c>
      <c r="AB5" s="61" t="s">
        <v>37</v>
      </c>
      <c r="AC5" s="62"/>
      <c r="AD5" s="59" t="s">
        <v>34</v>
      </c>
      <c r="AE5" s="61" t="s">
        <v>38</v>
      </c>
      <c r="AF5" s="62"/>
      <c r="AG5" s="59" t="s">
        <v>34</v>
      </c>
      <c r="AH5" s="61" t="s">
        <v>39</v>
      </c>
      <c r="AI5" s="62"/>
      <c r="AJ5" s="66" t="s">
        <v>34</v>
      </c>
      <c r="AK5" s="67" t="s">
        <v>41</v>
      </c>
      <c r="AL5" s="67"/>
      <c r="AM5" s="66" t="s">
        <v>34</v>
      </c>
      <c r="AN5" s="20"/>
      <c r="AO5" s="20"/>
      <c r="AP5" s="20"/>
      <c r="AQ5" s="20"/>
      <c r="AR5" s="20"/>
      <c r="AS5" s="20"/>
      <c r="AT5" s="20"/>
      <c r="AU5" s="20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</row>
    <row r="6" spans="1:82" ht="22.5">
      <c r="A6" s="2" t="s">
        <v>7</v>
      </c>
      <c r="B6" s="3" t="s">
        <v>8</v>
      </c>
      <c r="C6" s="4" t="s">
        <v>9</v>
      </c>
      <c r="D6" s="19"/>
      <c r="E6" s="55"/>
      <c r="F6" s="53" t="s">
        <v>0</v>
      </c>
      <c r="G6" s="53"/>
      <c r="H6" s="53" t="s">
        <v>3</v>
      </c>
      <c r="I6" s="53"/>
      <c r="J6" s="19"/>
      <c r="K6" s="2" t="s">
        <v>11</v>
      </c>
      <c r="L6" s="2" t="s">
        <v>8</v>
      </c>
      <c r="M6" s="2" t="s">
        <v>9</v>
      </c>
      <c r="N6" s="19"/>
      <c r="O6" s="2" t="s">
        <v>11</v>
      </c>
      <c r="P6" s="2" t="s">
        <v>8</v>
      </c>
      <c r="Q6" s="2" t="s">
        <v>9</v>
      </c>
      <c r="R6" s="19"/>
      <c r="S6" s="58"/>
      <c r="T6" s="60"/>
      <c r="U6" s="60"/>
      <c r="V6" s="34" t="s">
        <v>32</v>
      </c>
      <c r="W6" s="34" t="s">
        <v>33</v>
      </c>
      <c r="X6" s="64"/>
      <c r="Y6" s="34" t="s">
        <v>32</v>
      </c>
      <c r="Z6" s="35" t="s">
        <v>33</v>
      </c>
      <c r="AA6" s="64"/>
      <c r="AB6" s="35" t="s">
        <v>32</v>
      </c>
      <c r="AC6" s="35" t="s">
        <v>33</v>
      </c>
      <c r="AD6" s="60"/>
      <c r="AE6" s="35" t="s">
        <v>32</v>
      </c>
      <c r="AF6" s="35" t="s">
        <v>33</v>
      </c>
      <c r="AG6" s="60"/>
      <c r="AH6" s="35" t="s">
        <v>32</v>
      </c>
      <c r="AI6" s="35" t="s">
        <v>40</v>
      </c>
      <c r="AJ6" s="66"/>
      <c r="AK6" s="35" t="s">
        <v>32</v>
      </c>
      <c r="AL6" s="35" t="s">
        <v>40</v>
      </c>
      <c r="AM6" s="66"/>
      <c r="AN6" s="20"/>
      <c r="AO6" s="20"/>
      <c r="AP6" s="20"/>
      <c r="AQ6" s="20"/>
      <c r="AR6" s="20"/>
      <c r="AS6" s="20"/>
      <c r="AT6" s="20"/>
      <c r="AU6" s="20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</row>
    <row r="7" spans="1:82" ht="18">
      <c r="A7" s="7">
        <v>1</v>
      </c>
      <c r="B7" s="7" t="s">
        <v>26</v>
      </c>
      <c r="C7" s="7">
        <v>-1.6000000000000002E-19</v>
      </c>
      <c r="D7" s="19"/>
      <c r="E7" s="5"/>
      <c r="F7" s="5" t="s">
        <v>1</v>
      </c>
      <c r="G7" s="5" t="s">
        <v>2</v>
      </c>
      <c r="H7" s="5" t="s">
        <v>1</v>
      </c>
      <c r="I7" s="5" t="s">
        <v>2</v>
      </c>
      <c r="J7" s="19"/>
      <c r="K7" s="5">
        <v>1</v>
      </c>
      <c r="L7" s="5" t="s">
        <v>10</v>
      </c>
      <c r="M7" s="6">
        <v>9000000000</v>
      </c>
      <c r="N7" s="19"/>
      <c r="O7" s="17">
        <v>1</v>
      </c>
      <c r="P7" s="5" t="s">
        <v>25</v>
      </c>
      <c r="Q7" s="5">
        <f>M7*C7*C8/(Q11-Q12)^2</f>
        <v>-1.9984437426449616E-33</v>
      </c>
      <c r="R7" s="19"/>
      <c r="S7" s="25">
        <f>S6+1</f>
        <v>1</v>
      </c>
      <c r="T7" s="25">
        <v>0</v>
      </c>
      <c r="U7" s="25">
        <v>0.1</v>
      </c>
      <c r="V7" s="25">
        <f>F8</f>
        <v>4</v>
      </c>
      <c r="W7" s="25">
        <f>$V$7+0.5*AH7*(T7^2)</f>
        <v>4</v>
      </c>
      <c r="X7" s="38" t="s">
        <v>42</v>
      </c>
      <c r="Y7" s="25">
        <f>H8</f>
        <v>38</v>
      </c>
      <c r="Z7" s="26">
        <f>$Y$7+0.5*AK7*T7^2</f>
        <v>38</v>
      </c>
      <c r="AA7" s="38">
        <f>ABS((Z7-Y7)/Z7)*100</f>
        <v>0</v>
      </c>
      <c r="AB7" s="36">
        <v>0</v>
      </c>
      <c r="AC7" s="36">
        <f>$AB$7+AH7*T7</f>
        <v>0</v>
      </c>
      <c r="AD7" s="39">
        <v>0</v>
      </c>
      <c r="AE7" s="32">
        <v>0</v>
      </c>
      <c r="AF7" s="32">
        <f>$AE$7+AK7*T7</f>
        <v>0</v>
      </c>
      <c r="AG7" s="40">
        <v>0</v>
      </c>
      <c r="AH7" s="32">
        <f>$M$7*(($C$7*$C$8)/(V7-Y7)^2)/$C$9</f>
        <v>-0.21901973459066887</v>
      </c>
      <c r="AI7" s="32">
        <f>$M$7*(($C$7*$C$8)/(W7-Z7)^2)/$C$9</f>
        <v>-0.21901973459066887</v>
      </c>
      <c r="AJ7" s="40">
        <f>ABS((AI7-AH7)/AI7)*100</f>
        <v>0</v>
      </c>
      <c r="AK7" s="33">
        <f>$M$7*($C$8*$C$7/(Y7-V7)^2)/$C$10</f>
        <v>-1.245674740484429E-4</v>
      </c>
      <c r="AL7" s="32">
        <f>$M$7*(($C$7*$C$8)/(Z7-W7)^2)/$C$10</f>
        <v>-1.245674740484429E-4</v>
      </c>
      <c r="AM7" s="40">
        <f>ABS((AL7-AK7)/AL7)*100</f>
        <v>0</v>
      </c>
      <c r="AN7" s="20"/>
      <c r="AO7" s="20"/>
      <c r="AP7" s="20"/>
      <c r="AQ7" s="20"/>
      <c r="AR7" s="20"/>
      <c r="AS7" s="20"/>
      <c r="AT7" s="20"/>
      <c r="AU7" s="20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</row>
    <row r="8" spans="1:82" ht="18">
      <c r="A8" s="7">
        <v>2</v>
      </c>
      <c r="B8" s="7" t="s">
        <v>27</v>
      </c>
      <c r="C8" s="7">
        <v>1.6000000000000002E-19</v>
      </c>
      <c r="D8" s="19"/>
      <c r="E8" s="5">
        <v>1</v>
      </c>
      <c r="F8" s="5">
        <v>4</v>
      </c>
      <c r="G8" s="5">
        <v>0</v>
      </c>
      <c r="H8" s="5">
        <v>38</v>
      </c>
      <c r="I8" s="5">
        <v>0</v>
      </c>
      <c r="J8" s="19"/>
      <c r="N8" s="19"/>
      <c r="O8" s="17">
        <v>2</v>
      </c>
      <c r="P8" s="5" t="s">
        <v>24</v>
      </c>
      <c r="Q8" s="10">
        <f>-M7*C8*C7/(Q12-Q11)^2</f>
        <v>1.9984437426449616E-33</v>
      </c>
      <c r="R8" s="19"/>
      <c r="S8" s="25">
        <f t="shared" ref="S8:S56" si="0">S7+1</f>
        <v>2</v>
      </c>
      <c r="T8" s="25">
        <f t="shared" ref="T8:T56" si="1">T7+U7</f>
        <v>0.1</v>
      </c>
      <c r="U8" s="25">
        <v>0.1</v>
      </c>
      <c r="V8" s="25">
        <f>V7+U8*AB7</f>
        <v>4</v>
      </c>
      <c r="W8" s="25">
        <f t="shared" ref="W8:W56" si="2">$V$7+0.5*AH8*(T8^2)</f>
        <v>3.9989049013270468</v>
      </c>
      <c r="X8" s="38">
        <f>ABS((W8-V8)/W8)*100</f>
        <v>2.7384964133300552E-2</v>
      </c>
      <c r="Y8" s="25">
        <f>Y7+U8*AB7</f>
        <v>38</v>
      </c>
      <c r="Z8" s="26">
        <f>$Y$7+0.5*AK8*(T8^2)</f>
        <v>37.999999377162631</v>
      </c>
      <c r="AA8" s="38">
        <f>ABS((Z8-Y8)/Z8)*100</f>
        <v>1.639045735378354E-6</v>
      </c>
      <c r="AB8" s="36">
        <f>AB7+U8*AH8</f>
        <v>-2.1901973459066887E-2</v>
      </c>
      <c r="AC8" s="36">
        <f>$AB$7+AH8*T8</f>
        <v>-2.1901973459066887E-2</v>
      </c>
      <c r="AD8" s="39">
        <f>ABS((AC8-AB8)/AC8)*100</f>
        <v>0</v>
      </c>
      <c r="AE8" s="32">
        <f>0+U8*AK8</f>
        <v>-1.245674740484429E-5</v>
      </c>
      <c r="AF8" s="32">
        <f>$AE$7+AK8*T8</f>
        <v>-1.245674740484429E-5</v>
      </c>
      <c r="AG8" s="40">
        <f>ABS((AF8-AE8)/AF8)*100</f>
        <v>0</v>
      </c>
      <c r="AH8" s="32">
        <f>$M$7*(($C$7*$C$8)/(V8-Y8)^2)/$C$9</f>
        <v>-0.21901973459066887</v>
      </c>
      <c r="AI8" s="32">
        <f>$M$7*(($C$7*$C$8)/(W8-Z8)^2)/$C$9</f>
        <v>-0.21900563457697059</v>
      </c>
      <c r="AJ8" s="40">
        <f>ABS((AI8-AH8)/AI8)*100</f>
        <v>6.4381967731182294E-3</v>
      </c>
      <c r="AK8" s="33">
        <f>$M$7*($C$8*$C$7/(Y8-V8)^2)/$C$10</f>
        <v>-1.245674740484429E-4</v>
      </c>
      <c r="AL8" s="32">
        <f>$M$7*(($C$7*$C$8)/(Z8-W8)^2)/$C$10</f>
        <v>-1.24559454665652E-4</v>
      </c>
      <c r="AM8" s="40">
        <f>ABS((AL8-AK8)/AL8)*100</f>
        <v>6.4381967731269351E-3</v>
      </c>
      <c r="AN8" s="20"/>
      <c r="AO8" s="20"/>
      <c r="AP8" s="20"/>
      <c r="AQ8" s="20"/>
      <c r="AR8" s="20"/>
      <c r="AS8" s="20"/>
      <c r="AT8" s="20"/>
      <c r="AU8" s="20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</row>
    <row r="9" spans="1:82" ht="18">
      <c r="A9" s="7">
        <v>3</v>
      </c>
      <c r="B9" s="7" t="s">
        <v>17</v>
      </c>
      <c r="C9" s="8">
        <v>9.1000000000000001E-31</v>
      </c>
      <c r="D9" s="19"/>
      <c r="E9" s="19"/>
      <c r="F9" s="19"/>
      <c r="G9" s="19"/>
      <c r="H9" s="19">
        <v>-20</v>
      </c>
      <c r="I9" s="19"/>
      <c r="J9" s="19"/>
      <c r="K9" s="19"/>
      <c r="L9" s="19"/>
      <c r="M9" s="19"/>
      <c r="N9" s="19"/>
      <c r="O9" s="17">
        <v>3</v>
      </c>
      <c r="P9" s="5" t="s">
        <v>14</v>
      </c>
      <c r="Q9" s="5">
        <f>Q7/C9</f>
        <v>-2.1960920248845733E-3</v>
      </c>
      <c r="R9" s="19"/>
      <c r="S9" s="25">
        <f t="shared" si="0"/>
        <v>3</v>
      </c>
      <c r="T9" s="25">
        <f t="shared" si="1"/>
        <v>0.2</v>
      </c>
      <c r="U9" s="25">
        <v>0.1</v>
      </c>
      <c r="V9" s="25">
        <f>V8+U9*AB8</f>
        <v>3.9978098026540931</v>
      </c>
      <c r="W9" s="25">
        <f t="shared" si="2"/>
        <v>3.9956201692815037</v>
      </c>
      <c r="X9" s="38">
        <f>ABS((W9-V9)/W9)*100</f>
        <v>5.4800838914155978E-2</v>
      </c>
      <c r="Y9" s="25">
        <f>Y8+U9*AE8</f>
        <v>37.999998754325262</v>
      </c>
      <c r="Z9" s="26">
        <f>$Y$7+0.5*AK9*(T9^2)</f>
        <v>37.999997508971276</v>
      </c>
      <c r="AA9" s="38">
        <f>ABS((Z9-Y9)/Z9)*100</f>
        <v>3.2772475444888717E-6</v>
      </c>
      <c r="AB9" s="36">
        <f>AB8+U9*AH9</f>
        <v>-4.3801127051548969E-2</v>
      </c>
      <c r="AC9" s="36">
        <f>$AB$7+AH9*T9</f>
        <v>-4.3798307184964171E-2</v>
      </c>
      <c r="AD9" s="39">
        <f>ABS((AC9-AB9)/AC9)*100</f>
        <v>6.4383003956969258E-3</v>
      </c>
      <c r="AE9" s="32">
        <f>AE8+U9*AK9</f>
        <v>-2.4911891010568477E-5</v>
      </c>
      <c r="AF9" s="32">
        <f t="shared" ref="AF9:AF56" si="3">$AE$7+AK9*T9</f>
        <v>-2.4910287211448374E-5</v>
      </c>
      <c r="AG9" s="40">
        <f>ABS((AF9-AE9)/AF9)*100</f>
        <v>6.4383003956947262E-3</v>
      </c>
      <c r="AH9" s="32">
        <f>$M$7*(($C$7*$C$8)/(V9-Y9)^2)/$C$9</f>
        <v>-0.21899153592482085</v>
      </c>
      <c r="AI9" s="32">
        <f t="shared" ref="AI9:AI56" si="4">$M$7*(($C$7*$C$8)/(W9-Z9)^2)/$C$9</f>
        <v>-0.21896334996348676</v>
      </c>
      <c r="AJ9" s="40">
        <f t="shared" ref="AJ9:AJ56" si="5">ABS((AI9-AH9)/AI9)*100</f>
        <v>1.2872456207297682E-2</v>
      </c>
      <c r="AK9" s="33">
        <f>$M$7*($C$8*$C$7/(Y9-V9)^2)/$C$10</f>
        <v>-1.2455143605724186E-4</v>
      </c>
      <c r="AL9" s="32">
        <f t="shared" ref="AL9:AL56" si="6">$M$7*(($C$7*$C$8)/(Z9-W9)^2)/$C$10</f>
        <v>-1.2453540529173309E-4</v>
      </c>
      <c r="AM9" s="40">
        <f t="shared" ref="AM9:AM56" si="7">ABS((AL9-AK9)/AL9)*100</f>
        <v>1.2872456207309525E-2</v>
      </c>
      <c r="AN9" s="20"/>
      <c r="AO9" s="20"/>
      <c r="AP9" s="20"/>
      <c r="AQ9" s="20"/>
      <c r="AR9" s="20"/>
      <c r="AS9" s="20"/>
      <c r="AT9" s="20"/>
      <c r="AU9" s="20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</row>
    <row r="10" spans="1:82" ht="18.75">
      <c r="A10" s="7">
        <v>4</v>
      </c>
      <c r="B10" s="7" t="s">
        <v>18</v>
      </c>
      <c r="C10" s="9">
        <v>1.6000000000000001E-27</v>
      </c>
      <c r="D10" s="20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8">
        <v>4</v>
      </c>
      <c r="P10" s="12" t="s">
        <v>15</v>
      </c>
      <c r="Q10" s="16">
        <f>Q8/C10</f>
        <v>1.249027339153101E-6</v>
      </c>
      <c r="R10" s="19"/>
      <c r="S10" s="25">
        <f t="shared" si="0"/>
        <v>4</v>
      </c>
      <c r="T10" s="25">
        <f t="shared" si="1"/>
        <v>0.30000000000000004</v>
      </c>
      <c r="U10" s="25">
        <v>0.1</v>
      </c>
      <c r="V10" s="25">
        <f>V9+U10*AB9</f>
        <v>3.9934296899489383</v>
      </c>
      <c r="W10" s="25">
        <f t="shared" si="2"/>
        <v>3.9901479178649346</v>
      </c>
      <c r="X10" s="38">
        <f t="shared" ref="X10:X56" si="8">ABS((W10-V10)/W10)*100</f>
        <v>8.2246877849073169E-2</v>
      </c>
      <c r="Y10" s="25">
        <f>Y9+U10*AE9</f>
        <v>37.999996263136161</v>
      </c>
      <c r="Z10" s="26">
        <f>$Y$7+0.5*AK10*(T10^2)</f>
        <v>37.999994396628288</v>
      </c>
      <c r="AA10" s="38">
        <f t="shared" ref="AA10:AA56" si="9">ABS((Z10-Y10)/Z10)*100</f>
        <v>4.9118635471982688E-6</v>
      </c>
      <c r="AB10" s="36">
        <f t="shared" ref="AB10:AB56" si="10">AB9+U10*AH10</f>
        <v>-6.5694642907250023E-2</v>
      </c>
      <c r="AC10" s="36">
        <f t="shared" ref="AC10:AC56" si="11">$AB$7+AH10*T10</f>
        <v>-6.5680547567103148E-2</v>
      </c>
      <c r="AD10" s="39">
        <f>ABS((AC10-AB10)/AC10)*100</f>
        <v>2.1460448593967639E-2</v>
      </c>
      <c r="AE10" s="32">
        <f>AE9+U10*AK10</f>
        <v>-3.7363828153498443E-5</v>
      </c>
      <c r="AF10" s="32">
        <f t="shared" si="3"/>
        <v>-3.7355811428789914E-5</v>
      </c>
      <c r="AG10" s="40">
        <f>ABS((AF10-AE10)/AF10)*100</f>
        <v>2.1460448593952696E-2</v>
      </c>
      <c r="AH10" s="32">
        <f t="shared" ref="AH10:AH56" si="12">$M$7*(($C$7*$C$8)/(V10-Y10)^2)/$C$9</f>
        <v>-0.21893515855701046</v>
      </c>
      <c r="AI10" s="32">
        <f t="shared" si="4"/>
        <v>-0.2188929324316021</v>
      </c>
      <c r="AJ10" s="40">
        <f t="shared" si="5"/>
        <v>1.9290766923939474E-2</v>
      </c>
      <c r="AK10" s="33">
        <f t="shared" ref="AK10:AK56" si="13">$M$7*($C$8*$C$7/(Y10-V10)^2)/$C$10</f>
        <v>-1.2451937142929969E-4</v>
      </c>
      <c r="AL10" s="32">
        <f t="shared" si="6"/>
        <v>-1.2449535532047369E-4</v>
      </c>
      <c r="AM10" s="40">
        <f t="shared" si="7"/>
        <v>1.9290766923933729E-2</v>
      </c>
      <c r="AN10" s="20"/>
      <c r="AO10" s="20"/>
      <c r="AP10" s="20"/>
      <c r="AQ10" s="20"/>
      <c r="AR10" s="20"/>
      <c r="AS10" s="20"/>
      <c r="AT10" s="20"/>
      <c r="AU10" s="20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</row>
    <row r="11" spans="1:82" ht="18.75">
      <c r="A11" s="15">
        <v>5</v>
      </c>
      <c r="B11" s="15" t="s">
        <v>20</v>
      </c>
      <c r="C11" s="15">
        <v>7</v>
      </c>
      <c r="D11" s="20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8">
        <v>5</v>
      </c>
      <c r="P11" s="12" t="s">
        <v>23</v>
      </c>
      <c r="Q11" s="16">
        <v>377.45982766320645</v>
      </c>
      <c r="R11" s="19"/>
      <c r="S11" s="25">
        <f t="shared" si="0"/>
        <v>5</v>
      </c>
      <c r="T11" s="25">
        <f t="shared" si="1"/>
        <v>0.4</v>
      </c>
      <c r="U11" s="25">
        <v>0.1</v>
      </c>
      <c r="V11" s="25">
        <f>V10+U11*AB10</f>
        <v>3.9868602256582135</v>
      </c>
      <c r="W11" s="25">
        <f t="shared" si="2"/>
        <v>3.9824919486095269</v>
      </c>
      <c r="X11" s="38" t="s">
        <v>43</v>
      </c>
      <c r="Y11" s="25">
        <f>Y10+U11*AE10</f>
        <v>37.999992526753346</v>
      </c>
      <c r="Z11" s="26">
        <f t="shared" ref="Z11:Z56" si="14">$Y$7+0.5*AK11*(T11^2)</f>
        <v>37.999990042295771</v>
      </c>
      <c r="AA11" s="38">
        <f t="shared" si="9"/>
        <v>6.5380479626845831E-6</v>
      </c>
      <c r="AB11" s="36">
        <f t="shared" si="10"/>
        <v>-8.757970714534119E-2</v>
      </c>
      <c r="AC11" s="36">
        <f t="shared" si="11"/>
        <v>-8.754025695236467E-2</v>
      </c>
      <c r="AD11" s="39">
        <f t="shared" ref="AD11:AD56" si="15">ABS((AC11-AB11)/AC11)*100</f>
        <v>4.5065201257047986E-2</v>
      </c>
      <c r="AE11" s="32">
        <f>AE10+U11*AK11</f>
        <v>-4.9810958438912795E-5</v>
      </c>
      <c r="AF11" s="32">
        <f t="shared" si="3"/>
        <v>-4.9788521141657407E-5</v>
      </c>
      <c r="AG11" s="40">
        <f t="shared" ref="AG11:AG56" si="16">ABS((AF11-AE11)/AF11)*100</f>
        <v>4.5065201257030896E-2</v>
      </c>
      <c r="AH11" s="32">
        <f t="shared" si="12"/>
        <v>-0.21885064238091168</v>
      </c>
      <c r="AI11" s="32">
        <f t="shared" si="4"/>
        <v>-0.21879447157146681</v>
      </c>
      <c r="AJ11" s="40">
        <f t="shared" si="5"/>
        <v>2.5672865059809771E-2</v>
      </c>
      <c r="AK11" s="33">
        <f t="shared" si="13"/>
        <v>-1.2447130285414351E-4</v>
      </c>
      <c r="AL11" s="32">
        <f t="shared" si="6"/>
        <v>-1.2443935570627173E-4</v>
      </c>
      <c r="AM11" s="40">
        <f t="shared" si="7"/>
        <v>2.567286505981169E-2</v>
      </c>
      <c r="AN11" s="20"/>
      <c r="AO11" s="20"/>
      <c r="AP11" s="20"/>
      <c r="AQ11" s="20"/>
      <c r="AR11" s="20"/>
      <c r="AS11" s="20"/>
      <c r="AT11" s="20"/>
      <c r="AU11" s="20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</row>
    <row r="12" spans="1:82" ht="18.75">
      <c r="A12" s="21"/>
      <c r="B12" s="22"/>
      <c r="C12" s="22"/>
      <c r="D12" s="20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8">
        <v>6</v>
      </c>
      <c r="P12" s="12" t="s">
        <v>21</v>
      </c>
      <c r="Q12" s="16">
        <v>37.916442762612775</v>
      </c>
      <c r="R12" s="19"/>
      <c r="S12" s="25">
        <f t="shared" si="0"/>
        <v>6</v>
      </c>
      <c r="T12" s="25">
        <f t="shared" si="1"/>
        <v>0.5</v>
      </c>
      <c r="U12" s="25">
        <v>0.1</v>
      </c>
      <c r="V12" s="25">
        <f t="shared" ref="V12:V56" si="17">V11+U12*AB11</f>
        <v>3.9781022549436793</v>
      </c>
      <c r="W12" s="25">
        <f t="shared" si="2"/>
        <v>3.9726577441060127</v>
      </c>
      <c r="X12" s="38">
        <f t="shared" si="8"/>
        <v>0.13704958212784127</v>
      </c>
      <c r="Y12" s="25">
        <f>Y11+U12*AE11</f>
        <v>37.999987545657504</v>
      </c>
      <c r="Z12" s="26">
        <f t="shared" si="14"/>
        <v>37.999984449091961</v>
      </c>
      <c r="AA12" s="38">
        <f t="shared" si="9"/>
        <v>8.1488600259742278E-6</v>
      </c>
      <c r="AB12" s="36">
        <f t="shared" si="10"/>
        <v>-0.10945351186053101</v>
      </c>
      <c r="AC12" s="36">
        <f t="shared" si="11"/>
        <v>-0.10936902357594913</v>
      </c>
      <c r="AD12" s="39">
        <f t="shared" si="15"/>
        <v>7.7250652716313511E-2</v>
      </c>
      <c r="AE12" s="32">
        <f>AE11+U12*AK12</f>
        <v>-6.2251684870677E-5</v>
      </c>
      <c r="AF12" s="32">
        <f t="shared" si="3"/>
        <v>-6.2203632158821059E-5</v>
      </c>
      <c r="AG12" s="40">
        <f t="shared" si="16"/>
        <v>7.7250652716308543E-2</v>
      </c>
      <c r="AH12" s="32">
        <f t="shared" si="12"/>
        <v>-0.21873804715189826</v>
      </c>
      <c r="AI12" s="32">
        <f t="shared" si="4"/>
        <v>-0.21866809460028383</v>
      </c>
      <c r="AJ12" s="40">
        <f t="shared" si="5"/>
        <v>3.1990287262667727E-2</v>
      </c>
      <c r="AK12" s="33">
        <f t="shared" si="13"/>
        <v>-1.2440726431764212E-4</v>
      </c>
      <c r="AL12" s="32">
        <f t="shared" si="6"/>
        <v>-1.2436747880391143E-4</v>
      </c>
      <c r="AM12" s="40">
        <f t="shared" si="7"/>
        <v>3.1990287262648548E-2</v>
      </c>
      <c r="AN12" s="20"/>
      <c r="AO12" s="20"/>
      <c r="AP12" s="20"/>
      <c r="AQ12" s="20"/>
      <c r="AR12" s="20"/>
      <c r="AS12" s="20"/>
      <c r="AT12" s="20"/>
      <c r="AU12" s="20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</row>
    <row r="13" spans="1:82" ht="18.75">
      <c r="A13" s="23"/>
      <c r="B13" s="24"/>
      <c r="C13" s="24"/>
      <c r="D13" s="20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27">
        <v>7</v>
      </c>
      <c r="P13" s="11" t="s">
        <v>16</v>
      </c>
      <c r="Q13">
        <v>139</v>
      </c>
      <c r="R13" s="19"/>
      <c r="S13" s="25">
        <f t="shared" si="0"/>
        <v>7</v>
      </c>
      <c r="T13" s="25">
        <f t="shared" si="1"/>
        <v>0.6</v>
      </c>
      <c r="U13" s="25">
        <v>0.1</v>
      </c>
      <c r="V13" s="25">
        <f t="shared" si="17"/>
        <v>3.9671569037576262</v>
      </c>
      <c r="W13" s="25">
        <f t="shared" si="2"/>
        <v>3.9606524585706682</v>
      </c>
      <c r="X13" s="38">
        <f t="shared" si="8"/>
        <v>0.16422660798936581</v>
      </c>
      <c r="Y13" s="25">
        <f t="shared" ref="Y13:Y56" si="18">Y12+U13*AE12</f>
        <v>37.99998132048902</v>
      </c>
      <c r="Z13" s="26">
        <f>$Y$7+0.5*AK13*(T13^2)</f>
        <v>37.999977621085812</v>
      </c>
      <c r="AA13" s="38">
        <f t="shared" si="9"/>
        <v>9.7352773350162235E-6</v>
      </c>
      <c r="AB13" s="36">
        <f t="shared" si="10"/>
        <v>-0.13131325709904876</v>
      </c>
      <c r="AC13" s="36">
        <f t="shared" si="11"/>
        <v>-0.13115847143110648</v>
      </c>
      <c r="AD13" s="39">
        <f t="shared" si="15"/>
        <v>0.11801423594935657</v>
      </c>
      <c r="AE13" s="32">
        <f t="shared" ref="AE13:AE23" si="19">AE12+U13*AK13</f>
        <v>-7.4684414975083964E-5</v>
      </c>
      <c r="AF13" s="32">
        <f t="shared" si="3"/>
        <v>-7.4596380626441798E-5</v>
      </c>
      <c r="AG13" s="40">
        <f t="shared" si="16"/>
        <v>0.11801423594935191</v>
      </c>
      <c r="AH13" s="32">
        <f t="shared" si="12"/>
        <v>-0.21859745238517747</v>
      </c>
      <c r="AI13" s="32">
        <f t="shared" si="4"/>
        <v>-0.21851396596080311</v>
      </c>
      <c r="AJ13" s="40">
        <f t="shared" si="5"/>
        <v>3.8206447815485829E-2</v>
      </c>
      <c r="AK13" s="33">
        <f t="shared" si="13"/>
        <v>-1.2432730104406967E-4</v>
      </c>
      <c r="AL13" s="32">
        <f t="shared" si="6"/>
        <v>-1.2427981814020677E-4</v>
      </c>
      <c r="AM13" s="40">
        <f t="shared" si="7"/>
        <v>3.8206447815471972E-2</v>
      </c>
      <c r="AN13" s="20"/>
      <c r="AO13" s="20"/>
      <c r="AP13" s="20"/>
      <c r="AQ13" s="20"/>
      <c r="AR13" s="20"/>
      <c r="AS13" s="20"/>
      <c r="AT13" s="20"/>
      <c r="AU13" s="20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</row>
    <row r="14" spans="1:82" ht="15.75">
      <c r="A14" s="20"/>
      <c r="B14" s="20"/>
      <c r="C14" s="20"/>
      <c r="D14" s="20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25">
        <f t="shared" si="0"/>
        <v>8</v>
      </c>
      <c r="T14" s="25">
        <f t="shared" si="1"/>
        <v>0.7</v>
      </c>
      <c r="U14" s="25">
        <v>0.1</v>
      </c>
      <c r="V14" s="25">
        <f t="shared" si="17"/>
        <v>3.9540255780477214</v>
      </c>
      <c r="W14" s="25">
        <f t="shared" si="2"/>
        <v>3.9464849054809865</v>
      </c>
      <c r="X14" s="38">
        <f t="shared" si="8"/>
        <v>0.19107313843420912</v>
      </c>
      <c r="Y14" s="25">
        <f t="shared" si="18"/>
        <v>37.999973852047525</v>
      </c>
      <c r="Z14" s="26">
        <f t="shared" ref="Z14:Z47" si="20">$Y$7+0.5*AK14*(T14^2)</f>
        <v>37.999969563289994</v>
      </c>
      <c r="AA14" s="38">
        <f t="shared" si="9"/>
        <v>1.1286213067363581E-5</v>
      </c>
      <c r="AB14" s="36">
        <f t="shared" si="10"/>
        <v>-0.15315615282109504</v>
      </c>
      <c r="AC14" s="36">
        <f t="shared" si="11"/>
        <v>-0.15290027005432394</v>
      </c>
      <c r="AD14" s="39">
        <f t="shared" si="15"/>
        <v>0.16735272389001751</v>
      </c>
      <c r="AE14" s="32">
        <f>AE13+U14*AK14</f>
        <v>-8.7107561916997787E-5</v>
      </c>
      <c r="AF14" s="32">
        <f t="shared" si="3"/>
        <v>-8.6962028593396732E-5</v>
      </c>
      <c r="AG14" s="40">
        <f t="shared" si="16"/>
        <v>0.16735272389000466</v>
      </c>
      <c r="AH14" s="32">
        <f t="shared" si="12"/>
        <v>-0.21842895722046277</v>
      </c>
      <c r="AI14" s="32">
        <f t="shared" si="4"/>
        <v>-0.21833228680234276</v>
      </c>
      <c r="AJ14" s="40">
        <f t="shared" si="5"/>
        <v>4.4276739613651452E-2</v>
      </c>
      <c r="AK14" s="33">
        <f t="shared" si="13"/>
        <v>-1.242314694191382E-4</v>
      </c>
      <c r="AL14" s="32">
        <f t="shared" si="6"/>
        <v>-1.2417648811883245E-4</v>
      </c>
      <c r="AM14" s="40">
        <f t="shared" si="7"/>
        <v>4.4276739613652284E-2</v>
      </c>
      <c r="AN14" s="20"/>
      <c r="AO14" s="20"/>
      <c r="AP14" s="20"/>
      <c r="AQ14" s="20"/>
      <c r="AR14" s="20"/>
      <c r="AS14" s="20"/>
      <c r="AT14" s="20"/>
      <c r="AU14" s="20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</row>
    <row r="15" spans="1:82" ht="13.5" customHeight="1">
      <c r="A15" s="20"/>
      <c r="B15" s="20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25">
        <f t="shared" si="0"/>
        <v>9</v>
      </c>
      <c r="T15" s="25">
        <f t="shared" si="1"/>
        <v>0.79999999999999993</v>
      </c>
      <c r="U15" s="25">
        <v>0.1</v>
      </c>
      <c r="V15" s="25">
        <f t="shared" si="17"/>
        <v>3.9387099627656119</v>
      </c>
      <c r="W15" s="25">
        <f t="shared" si="2"/>
        <v>3.9301655423188455</v>
      </c>
      <c r="X15" s="38">
        <f t="shared" si="8"/>
        <v>0.21740612080490349</v>
      </c>
      <c r="Y15" s="25">
        <f t="shared" si="18"/>
        <v>37.999965141291334</v>
      </c>
      <c r="Z15" s="26">
        <f t="shared" si="14"/>
        <v>37.999960281652193</v>
      </c>
      <c r="AA15" s="38">
        <f t="shared" si="9"/>
        <v>1.2788537421765349E-5</v>
      </c>
      <c r="AB15" s="36">
        <f t="shared" si="10"/>
        <v>-0.17497942084645579</v>
      </c>
      <c r="AC15" s="36">
        <f t="shared" si="11"/>
        <v>-0.17458614420288593</v>
      </c>
      <c r="AD15" s="39">
        <f t="shared" si="15"/>
        <v>0.22526223106962984</v>
      </c>
      <c r="AE15" s="32">
        <f t="shared" ref="AE15" si="21">AE14+U15*AK15</f>
        <v>-9.9519545606421703E-5</v>
      </c>
      <c r="AF15" s="32">
        <f t="shared" si="3"/>
        <v>-9.9295869515391374E-5</v>
      </c>
      <c r="AG15" s="40">
        <f t="shared" si="16"/>
        <v>0.22526223106960011</v>
      </c>
      <c r="AH15" s="32">
        <f t="shared" si="12"/>
        <v>-0.21823268025360743</v>
      </c>
      <c r="AI15" s="32">
        <f t="shared" si="4"/>
        <v>-0.21812329434733335</v>
      </c>
      <c r="AJ15" s="40">
        <f t="shared" si="5"/>
        <v>5.0148658629687745E-2</v>
      </c>
      <c r="AK15" s="33">
        <f t="shared" si="13"/>
        <v>-1.2411983689423922E-4</v>
      </c>
      <c r="AL15" s="32">
        <f t="shared" si="6"/>
        <v>-1.2405762366004584E-4</v>
      </c>
      <c r="AM15" s="40">
        <f t="shared" si="7"/>
        <v>5.0148658629686836E-2</v>
      </c>
      <c r="AN15" s="20"/>
      <c r="AO15" s="20"/>
      <c r="AP15" s="20"/>
      <c r="AQ15" s="20"/>
      <c r="AR15" s="20"/>
      <c r="AS15" s="20"/>
      <c r="AT15" s="20"/>
      <c r="AU15" s="20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</row>
    <row r="16" spans="1:82" ht="18">
      <c r="A16" s="44" t="s">
        <v>19</v>
      </c>
      <c r="B16" s="45" t="s">
        <v>3</v>
      </c>
      <c r="C16" s="50"/>
      <c r="D16" s="50" t="s">
        <v>0</v>
      </c>
      <c r="E16" s="50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25">
        <f t="shared" si="0"/>
        <v>10</v>
      </c>
      <c r="T16" s="25">
        <f t="shared" si="1"/>
        <v>0.89999999999999991</v>
      </c>
      <c r="U16" s="25">
        <v>0.1</v>
      </c>
      <c r="V16" s="25">
        <f t="shared" si="17"/>
        <v>3.9212120206809664</v>
      </c>
      <c r="W16" s="25">
        <f t="shared" si="2"/>
        <v>3.9117064524690335</v>
      </c>
      <c r="X16" s="38">
        <f t="shared" si="8"/>
        <v>0.24300310689042393</v>
      </c>
      <c r="Y16" s="25">
        <f t="shared" si="18"/>
        <v>37.999955189336774</v>
      </c>
      <c r="Z16" s="26">
        <f t="shared" si="14"/>
        <v>37.999949783044841</v>
      </c>
      <c r="AA16" s="38">
        <f t="shared" si="9"/>
        <v>1.4227102835944178E-5</v>
      </c>
      <c r="AB16" s="36">
        <f t="shared" si="10"/>
        <v>-0.19678029678002781</v>
      </c>
      <c r="AC16" s="36">
        <f t="shared" si="11"/>
        <v>-0.19620788340214823</v>
      </c>
      <c r="AD16" s="39">
        <f t="shared" si="15"/>
        <v>0.29173821558757784</v>
      </c>
      <c r="AE16" s="32">
        <f>AE15+U16*AK16</f>
        <v>-1.119187937936408E-4</v>
      </c>
      <c r="AF16" s="32">
        <f t="shared" si="3"/>
        <v>-1.115932336849718E-4</v>
      </c>
      <c r="AG16" s="40">
        <f t="shared" si="16"/>
        <v>0.29173821558756108</v>
      </c>
      <c r="AH16" s="32">
        <f t="shared" si="12"/>
        <v>-0.21800875933572028</v>
      </c>
      <c r="AI16" s="32">
        <f t="shared" si="4"/>
        <v>-0.21788726114701906</v>
      </c>
      <c r="AJ16" s="40">
        <f t="shared" si="5"/>
        <v>5.5761951415433268E-2</v>
      </c>
      <c r="AK16" s="33">
        <f t="shared" si="13"/>
        <v>-1.239924818721909E-4</v>
      </c>
      <c r="AL16" s="32">
        <f t="shared" si="6"/>
        <v>-1.2392337977736709E-4</v>
      </c>
      <c r="AM16" s="40">
        <f t="shared" si="7"/>
        <v>5.576195141542515E-2</v>
      </c>
      <c r="AN16" s="20"/>
      <c r="AO16" s="20"/>
      <c r="AP16" s="20"/>
      <c r="AQ16" s="20"/>
      <c r="AR16" s="20"/>
      <c r="AS16" s="20"/>
      <c r="AT16" s="20"/>
      <c r="AU16" s="20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</row>
    <row r="17" spans="1:82" ht="18">
      <c r="A17" s="45"/>
      <c r="B17" s="13" t="s">
        <v>6</v>
      </c>
      <c r="C17" s="14" t="s">
        <v>4</v>
      </c>
      <c r="D17" s="14" t="s">
        <v>6</v>
      </c>
      <c r="E17" s="14" t="s">
        <v>4</v>
      </c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25">
        <f t="shared" si="0"/>
        <v>11</v>
      </c>
      <c r="T17" s="25">
        <f t="shared" si="1"/>
        <v>0.99999999999999989</v>
      </c>
      <c r="U17" s="25">
        <v>0.1</v>
      </c>
      <c r="V17" s="25">
        <f t="shared" si="17"/>
        <v>3.9015339910029638</v>
      </c>
      <c r="W17" s="25">
        <f t="shared" si="2"/>
        <v>3.8911213243298066</v>
      </c>
      <c r="X17" s="38">
        <f t="shared" si="8"/>
        <v>0.26760066842558949</v>
      </c>
      <c r="Y17" s="25">
        <f t="shared" si="18"/>
        <v>37.999943997457393</v>
      </c>
      <c r="Z17" s="26">
        <f t="shared" si="14"/>
        <v>37.999938075253212</v>
      </c>
      <c r="AA17" s="38">
        <f t="shared" si="9"/>
        <v>1.558477324238396E-5</v>
      </c>
      <c r="AB17" s="36">
        <f t="shared" si="10"/>
        <v>-0.21855603191406647</v>
      </c>
      <c r="AC17" s="36">
        <f t="shared" si="11"/>
        <v>-0.21775735134038657</v>
      </c>
      <c r="AD17" s="39">
        <f t="shared" si="15"/>
        <v>0.36677548140795063</v>
      </c>
      <c r="AE17" s="32">
        <f t="shared" ref="AE17" si="22">AE16+U17*AK17</f>
        <v>-1.2430374315112528E-4</v>
      </c>
      <c r="AF17" s="32">
        <f t="shared" si="3"/>
        <v>-1.2384949357484483E-4</v>
      </c>
      <c r="AG17" s="40">
        <f t="shared" si="16"/>
        <v>0.36677548140795535</v>
      </c>
      <c r="AH17" s="32">
        <f t="shared" si="12"/>
        <v>-0.2177573513403866</v>
      </c>
      <c r="AI17" s="32">
        <f t="shared" si="4"/>
        <v>-0.21762449423056954</v>
      </c>
      <c r="AJ17" s="40">
        <f t="shared" si="5"/>
        <v>6.1048785104262412E-2</v>
      </c>
      <c r="AK17" s="33">
        <f t="shared" si="13"/>
        <v>-1.2384949357484485E-4</v>
      </c>
      <c r="AL17" s="32">
        <f t="shared" si="6"/>
        <v>-1.2377393109363642E-4</v>
      </c>
      <c r="AM17" s="40">
        <f t="shared" si="7"/>
        <v>6.104878510424927E-2</v>
      </c>
      <c r="AN17" s="20"/>
      <c r="AO17" s="20"/>
      <c r="AP17" s="20"/>
      <c r="AQ17" s="20"/>
      <c r="AR17" s="20"/>
      <c r="AS17" s="20"/>
      <c r="AT17" s="20"/>
      <c r="AU17" s="20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</row>
    <row r="18" spans="1:82" ht="18">
      <c r="A18" s="1">
        <v>1</v>
      </c>
      <c r="B18" s="5">
        <v>37.999998754325262</v>
      </c>
      <c r="C18" s="5">
        <v>1</v>
      </c>
      <c r="D18" s="5">
        <v>4.0021901975063932</v>
      </c>
      <c r="E18" s="5">
        <v>1</v>
      </c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25">
        <f t="shared" si="0"/>
        <v>12</v>
      </c>
      <c r="T18" s="25">
        <f t="shared" si="1"/>
        <v>1.0999999999999999</v>
      </c>
      <c r="U18" s="25">
        <v>0.1</v>
      </c>
      <c r="V18" s="25">
        <f t="shared" si="17"/>
        <v>3.8796783878115573</v>
      </c>
      <c r="W18" s="25">
        <f t="shared" si="2"/>
        <v>3.868425427700676</v>
      </c>
      <c r="X18" s="38">
        <f t="shared" si="8"/>
        <v>0.2908925174129528</v>
      </c>
      <c r="Y18" s="25">
        <f t="shared" si="18"/>
        <v>37.999931567083081</v>
      </c>
      <c r="Z18" s="26">
        <f t="shared" si="14"/>
        <v>37.999925166962008</v>
      </c>
      <c r="AA18" s="38">
        <f t="shared" si="9"/>
        <v>1.6842457044304671E-5</v>
      </c>
      <c r="AB18" s="36">
        <f t="shared" si="10"/>
        <v>-0.24030389510403738</v>
      </c>
      <c r="AC18" s="36">
        <f t="shared" si="11"/>
        <v>-0.23922649508968002</v>
      </c>
      <c r="AD18" s="39">
        <f t="shared" si="15"/>
        <v>0.45036818097989706</v>
      </c>
      <c r="AE18" s="32">
        <f>AE17+U18*AK18</f>
        <v>-1.3667284034042123E-4</v>
      </c>
      <c r="AF18" s="32">
        <f t="shared" si="3"/>
        <v>-1.3606006908225551E-4</v>
      </c>
      <c r="AG18" s="40">
        <f t="shared" si="16"/>
        <v>0.45036818097987669</v>
      </c>
      <c r="AH18" s="32">
        <f t="shared" si="12"/>
        <v>-0.21747863189970915</v>
      </c>
      <c r="AI18" s="32">
        <f t="shared" si="4"/>
        <v>-0.21733533415242146</v>
      </c>
      <c r="AJ18" s="40">
        <f t="shared" si="5"/>
        <v>6.5933939295482052E-2</v>
      </c>
      <c r="AK18" s="33">
        <f t="shared" si="13"/>
        <v>-1.2369097189295956E-4</v>
      </c>
      <c r="AL18" s="32">
        <f t="shared" si="6"/>
        <v>-1.236094712991897E-4</v>
      </c>
      <c r="AM18" s="40">
        <f t="shared" si="7"/>
        <v>6.5933939295471797E-2</v>
      </c>
      <c r="AN18" s="20"/>
      <c r="AO18" s="20"/>
      <c r="AP18" s="20"/>
      <c r="AQ18" s="20"/>
      <c r="AR18" s="20"/>
      <c r="AS18" s="20"/>
      <c r="AT18" s="20"/>
      <c r="AU18" s="20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</row>
    <row r="19" spans="1:82" ht="18">
      <c r="A19" s="1">
        <v>2</v>
      </c>
      <c r="B19" s="5">
        <v>37.999996262815188</v>
      </c>
      <c r="C19" s="5">
        <v>2</v>
      </c>
      <c r="D19" s="5">
        <v>4.0065708750419331</v>
      </c>
      <c r="E19" s="5">
        <v>2</v>
      </c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25">
        <f t="shared" si="0"/>
        <v>13</v>
      </c>
      <c r="T19" s="25">
        <f t="shared" si="1"/>
        <v>1.2</v>
      </c>
      <c r="U19" s="25">
        <v>0.1</v>
      </c>
      <c r="V19" s="25">
        <f t="shared" si="17"/>
        <v>3.8556479983011536</v>
      </c>
      <c r="W19" s="25">
        <f t="shared" si="2"/>
        <v>3.8436355875208141</v>
      </c>
      <c r="X19" s="38">
        <f t="shared" si="8"/>
        <v>0.31252730668173373</v>
      </c>
      <c r="Y19" s="25">
        <f t="shared" si="18"/>
        <v>37.999917899799044</v>
      </c>
      <c r="Z19" s="26">
        <f t="shared" si="14"/>
        <v>37.999911067740399</v>
      </c>
      <c r="AA19" s="38">
        <f t="shared" si="9"/>
        <v>1.797914377448487E-5</v>
      </c>
      <c r="AB19" s="36">
        <f t="shared" si="10"/>
        <v>-0.26202117461503538</v>
      </c>
      <c r="AC19" s="36">
        <f t="shared" si="11"/>
        <v>-0.26060735413197628</v>
      </c>
      <c r="AD19" s="39">
        <f t="shared" si="15"/>
        <v>0.54250981817770128</v>
      </c>
      <c r="AE19" s="32">
        <f t="shared" ref="AE19" si="23">AE18+U19*AK19</f>
        <v>-1.4902454306230136E-4</v>
      </c>
      <c r="AF19" s="32">
        <f t="shared" si="3"/>
        <v>-1.482204326625615E-4</v>
      </c>
      <c r="AG19" s="40">
        <f t="shared" si="16"/>
        <v>0.54250981817769894</v>
      </c>
      <c r="AH19" s="32">
        <f t="shared" si="12"/>
        <v>-0.21717279510998025</v>
      </c>
      <c r="AI19" s="32">
        <f t="shared" si="4"/>
        <v>-0.21702015394320565</v>
      </c>
      <c r="AJ19" s="40">
        <f t="shared" si="5"/>
        <v>7.0335019122025583E-2</v>
      </c>
      <c r="AK19" s="33">
        <f t="shared" si="13"/>
        <v>-1.2351702721880126E-4</v>
      </c>
      <c r="AL19" s="32">
        <f t="shared" si="6"/>
        <v>-1.2343021255519822E-4</v>
      </c>
      <c r="AM19" s="40">
        <f t="shared" si="7"/>
        <v>7.0335019122014508E-2</v>
      </c>
      <c r="AN19" s="20"/>
      <c r="AO19" s="20"/>
      <c r="AP19" s="20"/>
      <c r="AQ19" s="20"/>
      <c r="AR19" s="20"/>
      <c r="AS19" s="20"/>
      <c r="AT19" s="20"/>
      <c r="AU19" s="20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</row>
    <row r="20" spans="1:82" ht="18">
      <c r="A20" s="1">
        <v>3</v>
      </c>
      <c r="B20" s="5">
        <v>37.999992525148478</v>
      </c>
      <c r="C20" s="5">
        <v>3</v>
      </c>
      <c r="D20" s="5">
        <v>4.0131425976920285</v>
      </c>
      <c r="E20" s="5">
        <v>3</v>
      </c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25">
        <f t="shared" si="0"/>
        <v>14</v>
      </c>
      <c r="T20" s="25">
        <f t="shared" si="1"/>
        <v>1.3</v>
      </c>
      <c r="U20" s="25">
        <v>0.1</v>
      </c>
      <c r="V20" s="25">
        <f t="shared" si="17"/>
        <v>3.8294458808396499</v>
      </c>
      <c r="W20" s="25">
        <f t="shared" si="2"/>
        <v>3.8167701550393409</v>
      </c>
      <c r="X20" s="38">
        <f t="shared" si="8"/>
        <v>0.33210608146191356</v>
      </c>
      <c r="Y20" s="25">
        <f t="shared" si="18"/>
        <v>37.999902997344741</v>
      </c>
      <c r="Z20" s="26">
        <f t="shared" si="14"/>
        <v>37.999895788025675</v>
      </c>
      <c r="AA20" s="38">
        <f t="shared" si="9"/>
        <v>1.8971944306105121E-5</v>
      </c>
      <c r="AB20" s="36">
        <f t="shared" si="10"/>
        <v>-0.28370517993582345</v>
      </c>
      <c r="AC20" s="36">
        <f t="shared" si="11"/>
        <v>-0.28189206917024495</v>
      </c>
      <c r="AD20" s="39">
        <f t="shared" si="15"/>
        <v>0.64319325155738671</v>
      </c>
      <c r="AE20" s="32">
        <f t="shared" ref="AE20" si="24">0+U20*AK20</f>
        <v>-1.2332778026198219E-5</v>
      </c>
      <c r="AF20" s="32">
        <f t="shared" si="3"/>
        <v>-1.6032611434057682E-4</v>
      </c>
      <c r="AG20" s="40">
        <f t="shared" si="16"/>
        <v>92.307692307692307</v>
      </c>
      <c r="AH20" s="32">
        <f t="shared" si="12"/>
        <v>-0.21684005320788075</v>
      </c>
      <c r="AI20" s="32">
        <f t="shared" si="4"/>
        <v>-0.21667935797009283</v>
      </c>
      <c r="AJ20" s="40">
        <f t="shared" si="5"/>
        <v>7.4162688727412912E-2</v>
      </c>
      <c r="AK20" s="33">
        <f t="shared" si="13"/>
        <v>-1.2332778026198218E-4</v>
      </c>
      <c r="AL20" s="32">
        <f t="shared" si="6"/>
        <v>-1.2323638484549028E-4</v>
      </c>
      <c r="AM20" s="40">
        <f t="shared" si="7"/>
        <v>7.4162688727423487E-2</v>
      </c>
      <c r="AN20" s="20"/>
      <c r="AO20" s="20"/>
      <c r="AP20" s="20"/>
      <c r="AQ20" s="20"/>
      <c r="AR20" s="20"/>
      <c r="AS20" s="20"/>
      <c r="AT20" s="20"/>
      <c r="AU20" s="20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</row>
    <row r="21" spans="1:82" ht="18">
      <c r="A21" s="1">
        <v>4</v>
      </c>
      <c r="B21" s="5">
        <v>37.999987540842895</v>
      </c>
      <c r="C21" s="5">
        <v>4</v>
      </c>
      <c r="D21" s="5">
        <v>4.0219062135057335</v>
      </c>
      <c r="E21" s="5">
        <v>4</v>
      </c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25">
        <f t="shared" si="0"/>
        <v>15</v>
      </c>
      <c r="T21" s="25">
        <f t="shared" si="1"/>
        <v>1.4000000000000001</v>
      </c>
      <c r="U21" s="25">
        <v>0.1</v>
      </c>
      <c r="V21" s="25">
        <f t="shared" si="17"/>
        <v>3.8010753628460674</v>
      </c>
      <c r="W21" s="25">
        <f t="shared" si="2"/>
        <v>3.7878491613996679</v>
      </c>
      <c r="X21" s="38">
        <f t="shared" si="8"/>
        <v>0.34917444921466301</v>
      </c>
      <c r="Y21" s="25">
        <f t="shared" si="18"/>
        <v>37.999901764066941</v>
      </c>
      <c r="Z21" s="26">
        <f t="shared" si="14"/>
        <v>37.999879339210544</v>
      </c>
      <c r="AA21" s="38">
        <f t="shared" si="9"/>
        <v>5.9012967374234174E-5</v>
      </c>
      <c r="AB21" s="36">
        <f t="shared" si="10"/>
        <v>-0.30535322469095938</v>
      </c>
      <c r="AC21" s="36">
        <f t="shared" si="11"/>
        <v>-0.30307262657190276</v>
      </c>
      <c r="AD21" s="39">
        <f t="shared" si="15"/>
        <v>0.75249228043218142</v>
      </c>
      <c r="AE21" s="32">
        <f t="shared" ref="AE21" si="25">AE20+U21*AK21</f>
        <v>-2.4645103480681765E-5</v>
      </c>
      <c r="AF21" s="32">
        <f t="shared" si="3"/>
        <v>-1.7237255636276969E-4</v>
      </c>
      <c r="AG21" s="40">
        <f t="shared" si="16"/>
        <v>85.702420384823625</v>
      </c>
      <c r="AH21" s="32">
        <f t="shared" si="12"/>
        <v>-0.21648044755135909</v>
      </c>
      <c r="AI21" s="32">
        <f t="shared" si="4"/>
        <v>-0.21631338304956294</v>
      </c>
      <c r="AJ21" s="40">
        <f t="shared" si="5"/>
        <v>7.7232624001759509E-2</v>
      </c>
      <c r="AK21" s="33">
        <f t="shared" si="13"/>
        <v>-1.2312325454483548E-4</v>
      </c>
      <c r="AL21" s="32">
        <f t="shared" si="6"/>
        <v>-1.2302823660943893E-4</v>
      </c>
      <c r="AM21" s="40">
        <f t="shared" si="7"/>
        <v>7.7232624001752209E-2</v>
      </c>
      <c r="AN21" s="20"/>
      <c r="AO21" s="20"/>
      <c r="AP21" s="20"/>
      <c r="AQ21" s="20"/>
      <c r="AR21" s="20"/>
      <c r="AS21" s="20"/>
      <c r="AT21" s="20"/>
      <c r="AU21" s="20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</row>
    <row r="22" spans="1:82" ht="18">
      <c r="A22" s="1">
        <v>5</v>
      </c>
      <c r="B22" s="5">
        <v>37.999981309254927</v>
      </c>
      <c r="C22" s="5">
        <v>5</v>
      </c>
      <c r="D22" s="5">
        <v>4.0328628540980214</v>
      </c>
      <c r="E22" s="5">
        <v>5</v>
      </c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25">
        <f t="shared" si="0"/>
        <v>16</v>
      </c>
      <c r="T22" s="25">
        <f t="shared" si="1"/>
        <v>1.5000000000000002</v>
      </c>
      <c r="U22" s="25">
        <v>0.1</v>
      </c>
      <c r="V22" s="25">
        <f t="shared" si="17"/>
        <v>3.7705400403769715</v>
      </c>
      <c r="W22" s="25">
        <f t="shared" si="2"/>
        <v>3.7568937828180817</v>
      </c>
      <c r="X22" s="38">
        <f t="shared" si="8"/>
        <v>0.36323245605984716</v>
      </c>
      <c r="Y22" s="25">
        <f t="shared" si="18"/>
        <v>37.999899299556596</v>
      </c>
      <c r="Z22" s="26">
        <f t="shared" si="14"/>
        <v>37.999861733338975</v>
      </c>
      <c r="AA22" s="38">
        <f t="shared" si="9"/>
        <v>9.8858827131252915E-5</v>
      </c>
      <c r="AB22" s="36">
        <f t="shared" si="10"/>
        <v>-0.32696266621824099</v>
      </c>
      <c r="AC22" s="36">
        <f t="shared" si="11"/>
        <v>-0.32414162290922455</v>
      </c>
      <c r="AD22" s="39">
        <f t="shared" si="15"/>
        <v>0.87031195922853632</v>
      </c>
      <c r="AE22" s="32">
        <f t="shared" ref="AE22" si="26">0+U22*AK22</f>
        <v>-1.2290369868641429E-5</v>
      </c>
      <c r="AF22" s="32">
        <f t="shared" si="3"/>
        <v>-1.8435554802962145E-4</v>
      </c>
      <c r="AG22" s="40">
        <f t="shared" si="16"/>
        <v>93.333333333333329</v>
      </c>
      <c r="AH22" s="32">
        <f t="shared" si="12"/>
        <v>-0.21609441527281634</v>
      </c>
      <c r="AI22" s="32">
        <f t="shared" si="4"/>
        <v>-0.21592269079789297</v>
      </c>
      <c r="AJ22" s="40">
        <f t="shared" si="5"/>
        <v>7.9530536734603502E-2</v>
      </c>
      <c r="AK22" s="33">
        <f t="shared" si="13"/>
        <v>-1.2290369868641428E-4</v>
      </c>
      <c r="AL22" s="32">
        <f t="shared" si="6"/>
        <v>-1.2280603039130163E-4</v>
      </c>
      <c r="AM22" s="40">
        <f t="shared" si="7"/>
        <v>7.9530536734589277E-2</v>
      </c>
      <c r="AN22" s="20"/>
      <c r="AO22" s="20"/>
      <c r="AP22" s="20"/>
      <c r="AQ22" s="20"/>
      <c r="AR22" s="20"/>
      <c r="AS22" s="20"/>
      <c r="AT22" s="20"/>
      <c r="AU22" s="20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</row>
    <row r="23" spans="1:82" ht="18">
      <c r="A23" s="1">
        <v>6</v>
      </c>
      <c r="B23" s="5">
        <v>37.999973829579325</v>
      </c>
      <c r="C23" s="5">
        <v>6</v>
      </c>
      <c r="D23" s="5">
        <v>4.0460139354543774</v>
      </c>
      <c r="E23" s="5">
        <v>6</v>
      </c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25">
        <f t="shared" si="0"/>
        <v>17</v>
      </c>
      <c r="T23" s="25">
        <f t="shared" si="1"/>
        <v>1.6000000000000003</v>
      </c>
      <c r="U23" s="25">
        <v>0.1</v>
      </c>
      <c r="V23" s="25">
        <f t="shared" si="17"/>
        <v>3.7378437737551473</v>
      </c>
      <c r="W23" s="25">
        <f t="shared" si="2"/>
        <v>3.7239267969232803</v>
      </c>
      <c r="X23" s="38">
        <f t="shared" si="8"/>
        <v>0.37371778745396494</v>
      </c>
      <c r="Y23" s="25">
        <f t="shared" si="18"/>
        <v>37.999898070519606</v>
      </c>
      <c r="Z23" s="26">
        <f t="shared" si="14"/>
        <v>37.999842983365753</v>
      </c>
      <c r="AA23" s="38">
        <f t="shared" si="9"/>
        <v>1.4496679335680379E-4</v>
      </c>
      <c r="AB23" s="36">
        <f t="shared" si="10"/>
        <v>-0.3485308852086097</v>
      </c>
      <c r="AC23" s="36">
        <f t="shared" si="11"/>
        <v>-0.34509150384589954</v>
      </c>
      <c r="AD23" s="39">
        <f t="shared" si="15"/>
        <v>0.99665779202898397</v>
      </c>
      <c r="AE23" s="32">
        <f t="shared" si="19"/>
        <v>-2.4557294419413639E-5</v>
      </c>
      <c r="AF23" s="32">
        <f t="shared" si="3"/>
        <v>-1.9627079281235539E-4</v>
      </c>
      <c r="AG23" s="40">
        <f t="shared" si="16"/>
        <v>87.488054606835149</v>
      </c>
      <c r="AH23" s="32">
        <f t="shared" si="12"/>
        <v>-0.21568218990368718</v>
      </c>
      <c r="AI23" s="32">
        <f t="shared" si="4"/>
        <v>-0.21550777249965658</v>
      </c>
      <c r="AJ23" s="40">
        <f t="shared" si="5"/>
        <v>8.0933231320403878E-2</v>
      </c>
      <c r="AK23" s="33">
        <f t="shared" si="13"/>
        <v>-1.2266924550772209E-4</v>
      </c>
      <c r="AL23" s="32">
        <f t="shared" si="6"/>
        <v>-1.2257004560917967E-4</v>
      </c>
      <c r="AM23" s="40">
        <f t="shared" si="7"/>
        <v>8.0933231320419741E-2</v>
      </c>
      <c r="AN23" s="20"/>
      <c r="AO23" s="20"/>
      <c r="AP23" s="20"/>
      <c r="AQ23" s="20"/>
      <c r="AR23" s="20"/>
      <c r="AS23" s="20"/>
      <c r="AT23" s="20"/>
      <c r="AU23" s="20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</row>
    <row r="24" spans="1:82" ht="18">
      <c r="A24" s="1">
        <v>7</v>
      </c>
      <c r="B24" s="5">
        <v>37.999965100848534</v>
      </c>
      <c r="C24" s="5">
        <v>7</v>
      </c>
      <c r="D24" s="5">
        <v>4.0613611589390919</v>
      </c>
      <c r="E24" s="5">
        <v>7</v>
      </c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25">
        <f t="shared" si="0"/>
        <v>18</v>
      </c>
      <c r="T24" s="25">
        <f t="shared" si="1"/>
        <v>1.7000000000000004</v>
      </c>
      <c r="U24" s="25">
        <v>0.1</v>
      </c>
      <c r="V24" s="25">
        <f t="shared" si="17"/>
        <v>3.7029906852342864</v>
      </c>
      <c r="W24" s="25">
        <f t="shared" si="2"/>
        <v>3.6889722989171951</v>
      </c>
      <c r="X24" s="38">
        <f t="shared" si="8"/>
        <v>0.38000790413107832</v>
      </c>
      <c r="Y24" s="25">
        <f t="shared" si="18"/>
        <v>37.999895614790162</v>
      </c>
      <c r="Z24" s="26">
        <f t="shared" si="14"/>
        <v>37.999823102995009</v>
      </c>
      <c r="AA24" s="38">
        <f t="shared" si="9"/>
        <v>1.9082140186990306E-4</v>
      </c>
      <c r="AB24" s="36">
        <f t="shared" si="10"/>
        <v>-0.37005529358804257</v>
      </c>
      <c r="AC24" s="36">
        <f t="shared" si="11"/>
        <v>-0.36591494245035877</v>
      </c>
      <c r="AD24" s="39">
        <f t="shared" si="15"/>
        <v>1.1315064397091379</v>
      </c>
      <c r="AE24" s="32">
        <f>AE23+U24*AK24</f>
        <v>-3.6799301685216079E-5</v>
      </c>
      <c r="AF24" s="32">
        <f t="shared" si="3"/>
        <v>-2.0811412351864154E-4</v>
      </c>
      <c r="AG24" s="40">
        <f t="shared" si="16"/>
        <v>82.317729780641329</v>
      </c>
      <c r="AH24" s="32">
        <f t="shared" si="12"/>
        <v>-0.21524408379432863</v>
      </c>
      <c r="AI24" s="32">
        <f t="shared" si="4"/>
        <v>-0.21506914456258536</v>
      </c>
      <c r="AJ24" s="40">
        <f t="shared" si="5"/>
        <v>8.1340925077408671E-2</v>
      </c>
      <c r="AK24" s="33">
        <f t="shared" si="13"/>
        <v>-1.2242007265802441E-4</v>
      </c>
      <c r="AL24" s="32">
        <f t="shared" si="6"/>
        <v>-1.223205759699704E-4</v>
      </c>
      <c r="AM24" s="40">
        <f t="shared" si="7"/>
        <v>8.1340925077424714E-2</v>
      </c>
      <c r="AN24" s="20"/>
      <c r="AO24" s="20"/>
      <c r="AP24" s="20"/>
      <c r="AQ24" s="20"/>
      <c r="AR24" s="20"/>
      <c r="AS24" s="20"/>
      <c r="AT24" s="20"/>
      <c r="AU24" s="20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</row>
    <row r="25" spans="1:82" ht="18">
      <c r="A25" s="1">
        <v>8</v>
      </c>
      <c r="B25" s="5">
        <v>37.99995512193199</v>
      </c>
      <c r="C25" s="5">
        <v>8</v>
      </c>
      <c r="D25" s="5">
        <v>4.0789065125089934</v>
      </c>
      <c r="E25" s="5">
        <v>8</v>
      </c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25">
        <f t="shared" si="0"/>
        <v>19</v>
      </c>
      <c r="T25" s="25">
        <f t="shared" si="1"/>
        <v>1.8000000000000005</v>
      </c>
      <c r="U25" s="25">
        <v>0.1</v>
      </c>
      <c r="V25" s="25">
        <f t="shared" si="17"/>
        <v>3.6659851558754823</v>
      </c>
      <c r="W25" s="25">
        <f t="shared" si="2"/>
        <v>3.6520557613837594</v>
      </c>
      <c r="X25" s="38">
        <f t="shared" si="8"/>
        <v>0.38141242636572159</v>
      </c>
      <c r="Y25" s="25">
        <f t="shared" si="18"/>
        <v>37.999891934859996</v>
      </c>
      <c r="Z25" s="26">
        <f t="shared" si="20"/>
        <v>37.999802106714284</v>
      </c>
      <c r="AA25" s="38">
        <f t="shared" si="9"/>
        <v>2.3639108819267213E-4</v>
      </c>
      <c r="AB25" s="36">
        <f t="shared" si="10"/>
        <v>-0.39153333300879817</v>
      </c>
      <c r="AC25" s="36">
        <f t="shared" si="11"/>
        <v>-0.38660470957360049</v>
      </c>
      <c r="AD25" s="39">
        <f t="shared" si="15"/>
        <v>1.2748482657217559</v>
      </c>
      <c r="AE25" s="32">
        <f t="shared" ref="AE25" si="27">AE24+U25*AK25</f>
        <v>-4.9014936605770814E-5</v>
      </c>
      <c r="AF25" s="32">
        <f t="shared" si="3"/>
        <v>-2.1988142856998522E-4</v>
      </c>
      <c r="AG25" s="40">
        <f t="shared" si="16"/>
        <v>77.708469094210002</v>
      </c>
      <c r="AH25" s="32">
        <f t="shared" si="12"/>
        <v>-0.21478039420755576</v>
      </c>
      <c r="AI25" s="32">
        <f t="shared" si="4"/>
        <v>-0.21460734828804684</v>
      </c>
      <c r="AJ25" s="40">
        <f t="shared" si="5"/>
        <v>8.0633734533945733E-2</v>
      </c>
      <c r="AK25" s="33">
        <f t="shared" si="13"/>
        <v>-1.2215634920554732E-4</v>
      </c>
      <c r="AL25" s="32">
        <f t="shared" si="6"/>
        <v>-1.2205792933882662E-4</v>
      </c>
      <c r="AM25" s="40">
        <f t="shared" si="7"/>
        <v>8.0633734533940571E-2</v>
      </c>
      <c r="AN25" s="20"/>
      <c r="AO25" s="20"/>
      <c r="AP25" s="20"/>
      <c r="AQ25" s="20"/>
      <c r="AR25" s="20"/>
      <c r="AS25" s="20"/>
      <c r="AT25" s="20"/>
      <c r="AU25" s="20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</row>
    <row r="26" spans="1:82" ht="18">
      <c r="A26" s="1">
        <v>9</v>
      </c>
      <c r="B26" s="5">
        <v>37.999943891535331</v>
      </c>
      <c r="C26" s="5">
        <v>9</v>
      </c>
      <c r="D26" s="5">
        <v>4.0986522721347116</v>
      </c>
      <c r="E26" s="5">
        <v>9</v>
      </c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25">
        <f t="shared" si="0"/>
        <v>20</v>
      </c>
      <c r="T26" s="25">
        <f t="shared" si="1"/>
        <v>1.9000000000000006</v>
      </c>
      <c r="U26" s="25">
        <v>0.1</v>
      </c>
      <c r="V26" s="25">
        <f t="shared" si="17"/>
        <v>3.6268318225746023</v>
      </c>
      <c r="W26" s="25">
        <f t="shared" si="2"/>
        <v>3.6132039615542157</v>
      </c>
      <c r="X26" s="38">
        <f t="shared" si="8"/>
        <v>0.37716832942153067</v>
      </c>
      <c r="Y26" s="25">
        <f t="shared" si="18"/>
        <v>37.999887033366335</v>
      </c>
      <c r="Z26" s="26">
        <f t="shared" si="14"/>
        <v>37.999780009753131</v>
      </c>
      <c r="AA26" s="38">
        <f t="shared" si="9"/>
        <v>2.8164271786895853E-4</v>
      </c>
      <c r="AB26" s="36">
        <f t="shared" si="10"/>
        <v>-0.41296247641299672</v>
      </c>
      <c r="AC26" s="36">
        <f t="shared" si="11"/>
        <v>-0.40715372467977262</v>
      </c>
      <c r="AD26" s="39">
        <f t="shared" si="15"/>
        <v>1.4266728709881484</v>
      </c>
      <c r="AE26" s="32">
        <f>AE25+U26*AK26</f>
        <v>-6.1202761916908743E-5</v>
      </c>
      <c r="AF26" s="32">
        <f t="shared" si="3"/>
        <v>-2.3156868091162068E-4</v>
      </c>
      <c r="AG26" s="40">
        <f t="shared" si="16"/>
        <v>73.570362936831231</v>
      </c>
      <c r="AH26" s="32">
        <f t="shared" si="12"/>
        <v>-0.21429143404198553</v>
      </c>
      <c r="AI26" s="32">
        <f t="shared" si="4"/>
        <v>-0.21412294794420708</v>
      </c>
      <c r="AJ26" s="40">
        <f t="shared" si="5"/>
        <v>7.8686614114031828E-2</v>
      </c>
      <c r="AK26" s="33">
        <f t="shared" si="13"/>
        <v>-1.2187825311137927E-4</v>
      </c>
      <c r="AL26" s="32">
        <f t="shared" si="6"/>
        <v>-1.2178242664326777E-4</v>
      </c>
      <c r="AM26" s="40">
        <f t="shared" si="7"/>
        <v>7.8686614114034839E-2</v>
      </c>
      <c r="AN26" s="20"/>
      <c r="AO26" s="20"/>
      <c r="AP26" s="20"/>
      <c r="AQ26" s="20"/>
      <c r="AR26" s="20"/>
      <c r="AS26" s="20"/>
      <c r="AT26" s="20"/>
      <c r="AU26" s="20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</row>
    <row r="27" spans="1:82" ht="18">
      <c r="A27" s="1">
        <v>10</v>
      </c>
      <c r="B27" s="5">
        <v>37.999931408199458</v>
      </c>
      <c r="C27" s="5">
        <v>10</v>
      </c>
      <c r="D27" s="5">
        <v>4.1206010034319336</v>
      </c>
      <c r="E27" s="5">
        <v>10</v>
      </c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25">
        <f t="shared" si="0"/>
        <v>21</v>
      </c>
      <c r="T27" s="25">
        <f t="shared" si="1"/>
        <v>2.0000000000000004</v>
      </c>
      <c r="U27" s="25">
        <v>0.1</v>
      </c>
      <c r="V27" s="25">
        <f t="shared" si="17"/>
        <v>3.5855355749333029</v>
      </c>
      <c r="W27" s="25">
        <f t="shared" si="2"/>
        <v>3.5724449373334095</v>
      </c>
      <c r="X27" s="38">
        <f t="shared" si="8"/>
        <v>0.36643357223203715</v>
      </c>
      <c r="Y27" s="25">
        <f t="shared" si="18"/>
        <v>37.999880913090145</v>
      </c>
      <c r="Z27" s="26">
        <f t="shared" si="14"/>
        <v>37.999756828058111</v>
      </c>
      <c r="AA27" s="38">
        <f t="shared" si="9"/>
        <v>3.2654164761047687E-4</v>
      </c>
      <c r="AB27" s="36">
        <f t="shared" si="10"/>
        <v>-0.43434022954632623</v>
      </c>
      <c r="AC27" s="36">
        <f t="shared" si="11"/>
        <v>-0.4275550626665906</v>
      </c>
      <c r="AD27" s="39">
        <f t="shared" si="15"/>
        <v>1.586969135020331</v>
      </c>
      <c r="AE27" s="32">
        <f t="shared" ref="AE27:AE49" si="28">AE26+U27*AK27</f>
        <v>-7.3361359011489907E-5</v>
      </c>
      <c r="AF27" s="32">
        <f t="shared" si="3"/>
        <v>-2.4317194189162338E-4</v>
      </c>
      <c r="AG27" s="40">
        <f t="shared" si="16"/>
        <v>69.831486954944211</v>
      </c>
      <c r="AH27" s="32">
        <f t="shared" si="12"/>
        <v>-0.21377753133329525</v>
      </c>
      <c r="AI27" s="32">
        <f t="shared" si="4"/>
        <v>-0.21361652918490509</v>
      </c>
      <c r="AJ27" s="40">
        <f t="shared" si="5"/>
        <v>7.5369705239800189E-2</v>
      </c>
      <c r="AK27" s="33">
        <f t="shared" si="13"/>
        <v>-1.2158597094581166E-4</v>
      </c>
      <c r="AL27" s="32">
        <f t="shared" si="6"/>
        <v>-1.2149440097391476E-4</v>
      </c>
      <c r="AM27" s="40">
        <f t="shared" si="7"/>
        <v>7.5369705239804685E-2</v>
      </c>
      <c r="AN27" s="20"/>
      <c r="AO27" s="20"/>
      <c r="AP27" s="20"/>
      <c r="AQ27" s="20"/>
      <c r="AR27" s="20"/>
      <c r="AS27" s="20"/>
      <c r="AT27" s="20"/>
      <c r="AU27" s="20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</row>
    <row r="28" spans="1:82" ht="18">
      <c r="A28" s="1">
        <v>11</v>
      </c>
      <c r="B28" s="5">
        <v>37.999917670299482</v>
      </c>
      <c r="C28" s="5">
        <v>11</v>
      </c>
      <c r="D28" s="5">
        <v>4.1447555635054902</v>
      </c>
      <c r="E28" s="5">
        <v>11</v>
      </c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25">
        <f t="shared" si="0"/>
        <v>22</v>
      </c>
      <c r="T28" s="25">
        <f t="shared" si="1"/>
        <v>2.1000000000000005</v>
      </c>
      <c r="U28" s="25">
        <v>0.1</v>
      </c>
      <c r="V28" s="25">
        <f t="shared" si="17"/>
        <v>3.54210155197867</v>
      </c>
      <c r="W28" s="25">
        <f t="shared" si="2"/>
        <v>3.5298079416375794</v>
      </c>
      <c r="X28" s="38">
        <f t="shared" si="8"/>
        <v>0.34827986520386456</v>
      </c>
      <c r="Y28" s="25">
        <f t="shared" si="18"/>
        <v>37.999873576954244</v>
      </c>
      <c r="Z28" s="26">
        <f t="shared" si="14"/>
        <v>37.999732578266809</v>
      </c>
      <c r="AA28" s="38">
        <f t="shared" si="9"/>
        <v>3.7105178870559341E-4</v>
      </c>
      <c r="AB28" s="36">
        <f t="shared" si="10"/>
        <v>-0.45566413241990539</v>
      </c>
      <c r="AC28" s="36">
        <f t="shared" si="11"/>
        <v>-0.44780196034516234</v>
      </c>
      <c r="AD28" s="39">
        <f t="shared" si="15"/>
        <v>1.7557252470897948</v>
      </c>
      <c r="AE28" s="32">
        <f t="shared" si="28"/>
        <v>-8.5489328770838049E-5</v>
      </c>
      <c r="AF28" s="32">
        <f t="shared" si="3"/>
        <v>-2.5468736494631104E-4</v>
      </c>
      <c r="AG28" s="40">
        <f t="shared" si="16"/>
        <v>66.433619983912635</v>
      </c>
      <c r="AH28" s="32">
        <f t="shared" si="12"/>
        <v>-0.21323902873579154</v>
      </c>
      <c r="AI28" s="32">
        <f t="shared" si="4"/>
        <v>-0.21308869743550946</v>
      </c>
      <c r="AJ28" s="40">
        <f t="shared" si="5"/>
        <v>7.0548697369356136E-2</v>
      </c>
      <c r="AK28" s="33">
        <f t="shared" si="13"/>
        <v>-1.2127969759348142E-4</v>
      </c>
      <c r="AL28" s="32">
        <f t="shared" si="6"/>
        <v>-1.2119419666644599E-4</v>
      </c>
      <c r="AM28" s="40">
        <f t="shared" si="7"/>
        <v>7.0548697369353819E-2</v>
      </c>
      <c r="AN28" s="20"/>
      <c r="AO28" s="20"/>
      <c r="AP28" s="20"/>
      <c r="AQ28" s="20"/>
      <c r="AR28" s="20"/>
      <c r="AS28" s="20"/>
      <c r="AT28" s="20"/>
      <c r="AU28" s="20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</row>
    <row r="29" spans="1:82" ht="18">
      <c r="A29" s="1">
        <v>12</v>
      </c>
      <c r="B29" s="5">
        <v>37.999902676043568</v>
      </c>
      <c r="C29" s="5">
        <v>12</v>
      </c>
      <c r="D29" s="5">
        <v>4.1711191030094881</v>
      </c>
      <c r="E29" s="5">
        <v>12</v>
      </c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25">
        <f t="shared" si="0"/>
        <v>23</v>
      </c>
      <c r="T29" s="25">
        <f t="shared" si="1"/>
        <v>2.2000000000000006</v>
      </c>
      <c r="U29" s="25">
        <v>0.1</v>
      </c>
      <c r="V29" s="25">
        <f t="shared" si="17"/>
        <v>3.4965351387366796</v>
      </c>
      <c r="W29" s="25">
        <f t="shared" si="2"/>
        <v>3.4853233951744778</v>
      </c>
      <c r="X29" s="38">
        <f t="shared" si="8"/>
        <v>0.32168445481199381</v>
      </c>
      <c r="Y29" s="25">
        <f t="shared" si="18"/>
        <v>37.999865028021368</v>
      </c>
      <c r="Z29" s="26">
        <f t="shared" si="14"/>
        <v>37.999707277681004</v>
      </c>
      <c r="AA29" s="38">
        <f t="shared" si="9"/>
        <v>4.1513567252255882E-4</v>
      </c>
      <c r="AB29" s="36">
        <f t="shared" si="10"/>
        <v>-0.47693176071848065</v>
      </c>
      <c r="AC29" s="36">
        <f t="shared" si="11"/>
        <v>-0.46788782256865641</v>
      </c>
      <c r="AD29" s="39">
        <f t="shared" si="15"/>
        <v>1.9329287306888945</v>
      </c>
      <c r="AE29" s="32">
        <f t="shared" si="28"/>
        <v>-9.7585292365652746E-5</v>
      </c>
      <c r="AF29" s="32">
        <f t="shared" si="3"/>
        <v>-2.6611119908592334E-4</v>
      </c>
      <c r="AG29" s="40">
        <f t="shared" si="16"/>
        <v>63.329129814584043</v>
      </c>
      <c r="AH29" s="32">
        <f t="shared" si="12"/>
        <v>-0.21267628298575286</v>
      </c>
      <c r="AI29" s="32">
        <f t="shared" si="4"/>
        <v>-0.21254007625344015</v>
      </c>
      <c r="AJ29" s="40">
        <f t="shared" si="5"/>
        <v>6.4085199701487197E-2</v>
      </c>
      <c r="AK29" s="33">
        <f t="shared" si="13"/>
        <v>-1.2095963594814693E-4</v>
      </c>
      <c r="AL29" s="32">
        <f t="shared" si="6"/>
        <v>-1.2088216836914408E-4</v>
      </c>
      <c r="AM29" s="40">
        <f t="shared" si="7"/>
        <v>6.4085199701486156E-2</v>
      </c>
      <c r="AN29" s="20"/>
      <c r="AO29" s="20"/>
      <c r="AP29" s="20"/>
      <c r="AQ29" s="20"/>
      <c r="AR29" s="20"/>
      <c r="AS29" s="20"/>
      <c r="AT29" s="20"/>
      <c r="AU29" s="20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</row>
    <row r="30" spans="1:82" ht="18">
      <c r="A30" s="1">
        <v>13</v>
      </c>
      <c r="B30" s="5">
        <v>37.999886423471629</v>
      </c>
      <c r="C30" s="5">
        <v>13</v>
      </c>
      <c r="D30" s="5">
        <v>4.1996950684270953</v>
      </c>
      <c r="E30" s="5">
        <v>13</v>
      </c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25">
        <f t="shared" si="0"/>
        <v>24</v>
      </c>
      <c r="T30" s="25">
        <f t="shared" si="1"/>
        <v>2.3000000000000007</v>
      </c>
      <c r="U30" s="25">
        <v>0.1</v>
      </c>
      <c r="V30" s="25">
        <f t="shared" si="17"/>
        <v>3.4488419626648317</v>
      </c>
      <c r="W30" s="25">
        <f t="shared" si="2"/>
        <v>3.4390228377994387</v>
      </c>
      <c r="X30" s="38">
        <f t="shared" si="8"/>
        <v>0.28552078100405975</v>
      </c>
      <c r="Y30" s="25">
        <f t="shared" si="18"/>
        <v>37.99985526949213</v>
      </c>
      <c r="Z30" s="26">
        <f t="shared" si="14"/>
        <v>37.999680944238996</v>
      </c>
      <c r="AA30" s="38">
        <f t="shared" si="9"/>
        <v>4.5875451793899553E-4</v>
      </c>
      <c r="AB30" s="36">
        <f t="shared" si="10"/>
        <v>-0.49814072715328445</v>
      </c>
      <c r="AC30" s="36">
        <f t="shared" si="11"/>
        <v>-0.48780622800048801</v>
      </c>
      <c r="AD30" s="39">
        <f t="shared" si="15"/>
        <v>2.1185664634003198</v>
      </c>
      <c r="AE30" s="32">
        <f t="shared" si="28"/>
        <v>-1.0964789202544742E-4</v>
      </c>
      <c r="AF30" s="32">
        <f t="shared" si="3"/>
        <v>-2.7743979217527751E-4</v>
      </c>
      <c r="AG30" s="40">
        <f t="shared" si="16"/>
        <v>60.478671366587747</v>
      </c>
      <c r="AH30" s="32">
        <f t="shared" si="12"/>
        <v>-0.21208966434803819</v>
      </c>
      <c r="AI30" s="32">
        <f t="shared" si="4"/>
        <v>-0.21197130567096031</v>
      </c>
      <c r="AJ30" s="40">
        <f t="shared" si="5"/>
        <v>5.5837122247859867E-2</v>
      </c>
      <c r="AK30" s="33">
        <f t="shared" si="13"/>
        <v>-1.2062599659794671E-4</v>
      </c>
      <c r="AL30" s="32">
        <f t="shared" si="6"/>
        <v>-1.2055868010035867E-4</v>
      </c>
      <c r="AM30" s="40">
        <f t="shared" si="7"/>
        <v>5.5837122247854185E-2</v>
      </c>
      <c r="AN30" s="20"/>
      <c r="AO30" s="20"/>
      <c r="AP30" s="20"/>
      <c r="AQ30" s="20"/>
      <c r="AR30" s="20"/>
      <c r="AS30" s="20"/>
      <c r="AT30" s="20"/>
      <c r="AU30" s="20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</row>
    <row r="31" spans="1:82" ht="18">
      <c r="A31" s="1">
        <v>14</v>
      </c>
      <c r="B31" s="5">
        <v>37.999868910453891</v>
      </c>
      <c r="C31" s="5">
        <v>14</v>
      </c>
      <c r="D31" s="5">
        <v>4.2304872045740023</v>
      </c>
      <c r="E31" s="5">
        <v>14</v>
      </c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25">
        <f t="shared" si="0"/>
        <v>25</v>
      </c>
      <c r="T31" s="25">
        <f t="shared" si="1"/>
        <v>2.4000000000000008</v>
      </c>
      <c r="U31" s="25">
        <v>0.1</v>
      </c>
      <c r="V31" s="25">
        <f t="shared" si="17"/>
        <v>3.3990278899495032</v>
      </c>
      <c r="W31" s="25">
        <f t="shared" si="2"/>
        <v>3.3909388785832446</v>
      </c>
      <c r="X31" s="38">
        <f t="shared" si="8"/>
        <v>0.23854783751331587</v>
      </c>
      <c r="Y31" s="25">
        <f t="shared" si="18"/>
        <v>37.999844304702926</v>
      </c>
      <c r="Z31" s="26">
        <f t="shared" si="14"/>
        <v>37.999653596487192</v>
      </c>
      <c r="AA31" s="38">
        <f t="shared" si="9"/>
        <v>5.0186830058553903E-4</v>
      </c>
      <c r="AB31" s="36">
        <f t="shared" si="10"/>
        <v>-0.51928868275803286</v>
      </c>
      <c r="AC31" s="36">
        <f t="shared" si="11"/>
        <v>-0.50755093451396271</v>
      </c>
      <c r="AD31" s="39">
        <f t="shared" si="15"/>
        <v>2.3126246935808252</v>
      </c>
      <c r="AE31" s="32">
        <f t="shared" si="28"/>
        <v>-1.216757917756481E-4</v>
      </c>
      <c r="AF31" s="32">
        <f t="shared" si="3"/>
        <v>-2.8866959400481628E-4</v>
      </c>
      <c r="AG31" s="40">
        <f t="shared" si="16"/>
        <v>57.849460316344228</v>
      </c>
      <c r="AH31" s="32">
        <f t="shared" si="12"/>
        <v>-0.21147955604748439</v>
      </c>
      <c r="AI31" s="32">
        <f t="shared" si="4"/>
        <v>-0.21138304052771101</v>
      </c>
      <c r="AJ31" s="40">
        <f t="shared" si="5"/>
        <v>4.5659064952625603E-2</v>
      </c>
      <c r="AK31" s="33">
        <f t="shared" si="13"/>
        <v>-1.2027899750200674E-4</v>
      </c>
      <c r="AL31" s="32">
        <f t="shared" si="6"/>
        <v>-1.2022410430013563E-4</v>
      </c>
      <c r="AM31" s="40">
        <f t="shared" si="7"/>
        <v>4.5659064952620461E-2</v>
      </c>
      <c r="AN31" s="20"/>
      <c r="AO31" s="20"/>
      <c r="AP31" s="20"/>
      <c r="AQ31" s="20"/>
      <c r="AR31" s="20"/>
      <c r="AS31" s="20"/>
      <c r="AT31" s="20"/>
      <c r="AU31" s="20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</row>
    <row r="32" spans="1:82" ht="18">
      <c r="A32" s="1">
        <v>15</v>
      </c>
      <c r="B32" s="5">
        <v>37.99985013468936</v>
      </c>
      <c r="C32" s="5">
        <v>15</v>
      </c>
      <c r="D32" s="5">
        <v>4.2634995573299825</v>
      </c>
      <c r="E32" s="5">
        <v>15</v>
      </c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25">
        <f t="shared" si="0"/>
        <v>26</v>
      </c>
      <c r="T32" s="25">
        <f t="shared" si="1"/>
        <v>2.5000000000000009</v>
      </c>
      <c r="U32" s="25">
        <v>0.1</v>
      </c>
      <c r="V32" s="25">
        <f t="shared" si="17"/>
        <v>3.3470990216736998</v>
      </c>
      <c r="W32" s="25">
        <f t="shared" si="2"/>
        <v>3.3411051447292772</v>
      </c>
      <c r="X32" s="38">
        <f t="shared" si="8"/>
        <v>0.17939803402709795</v>
      </c>
      <c r="Y32" s="25">
        <f t="shared" si="18"/>
        <v>37.999832137123747</v>
      </c>
      <c r="Z32" s="26">
        <f t="shared" si="14"/>
        <v>37.999625253551066</v>
      </c>
      <c r="AA32" s="38">
        <f t="shared" si="9"/>
        <v>5.4443582351104854E-4</v>
      </c>
      <c r="AB32" s="36">
        <f t="shared" si="10"/>
        <v>-0.54037331812669598</v>
      </c>
      <c r="AC32" s="36">
        <f t="shared" si="11"/>
        <v>-0.52711588421657807</v>
      </c>
      <c r="AD32" s="39">
        <f t="shared" si="15"/>
        <v>2.5150890548141365</v>
      </c>
      <c r="AE32" s="32">
        <f t="shared" si="28"/>
        <v>-1.3366767814157525E-4</v>
      </c>
      <c r="AF32" s="32">
        <f t="shared" si="3"/>
        <v>-2.9979715914817877E-4</v>
      </c>
      <c r="AG32" s="40">
        <f t="shared" si="16"/>
        <v>55.413961052410031</v>
      </c>
      <c r="AH32" s="32">
        <f t="shared" si="12"/>
        <v>-0.21084635368663115</v>
      </c>
      <c r="AI32" s="32">
        <f t="shared" si="4"/>
        <v>-0.21077594880028555</v>
      </c>
      <c r="AJ32" s="40">
        <f t="shared" si="5"/>
        <v>3.3402713519422561E-2</v>
      </c>
      <c r="AK32" s="33">
        <f t="shared" si="13"/>
        <v>-1.1991886365927146E-4</v>
      </c>
      <c r="AL32" s="32">
        <f t="shared" si="6"/>
        <v>-1.1987882088016241E-4</v>
      </c>
      <c r="AM32" s="40">
        <f t="shared" si="7"/>
        <v>3.3402713519413207E-2</v>
      </c>
      <c r="AN32" s="20"/>
      <c r="AO32" s="20"/>
      <c r="AP32" s="20"/>
      <c r="AQ32" s="20"/>
      <c r="AR32" s="20"/>
      <c r="AS32" s="20"/>
      <c r="AT32" s="20"/>
      <c r="AU32" s="20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</row>
    <row r="33" spans="1:82" ht="18">
      <c r="A33" s="1">
        <v>16</v>
      </c>
      <c r="B33" s="5">
        <v>37.999830093704126</v>
      </c>
      <c r="C33" s="5">
        <v>16</v>
      </c>
      <c r="D33" s="5">
        <v>4.2987364766034259</v>
      </c>
      <c r="E33" s="5">
        <v>16</v>
      </c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25">
        <f t="shared" si="0"/>
        <v>27</v>
      </c>
      <c r="T33" s="25">
        <f t="shared" si="1"/>
        <v>2.600000000000001</v>
      </c>
      <c r="U33" s="25">
        <v>0.1</v>
      </c>
      <c r="V33" s="25">
        <f t="shared" si="17"/>
        <v>3.2930616898610303</v>
      </c>
      <c r="W33" s="25">
        <f t="shared" si="2"/>
        <v>3.2895562294785097</v>
      </c>
      <c r="X33" s="38">
        <f t="shared" si="8"/>
        <v>0.10656332155405532</v>
      </c>
      <c r="Y33" s="25">
        <f t="shared" si="18"/>
        <v>37.99981877035593</v>
      </c>
      <c r="Z33" s="26">
        <f t="shared" si="14"/>
        <v>37.999595935105518</v>
      </c>
      <c r="AA33" s="38">
        <f t="shared" si="9"/>
        <v>5.8641478923207786E-4</v>
      </c>
      <c r="AB33" s="36">
        <f t="shared" si="10"/>
        <v>-0.56139236459182884</v>
      </c>
      <c r="AC33" s="36">
        <f t="shared" si="11"/>
        <v>-0.54649520809345398</v>
      </c>
      <c r="AD33" s="39">
        <f t="shared" si="15"/>
        <v>2.7259445787907732</v>
      </c>
      <c r="AE33" s="32">
        <f t="shared" si="28"/>
        <v>-1.4562226081861956E-4</v>
      </c>
      <c r="AF33" s="32">
        <f t="shared" si="3"/>
        <v>-3.1081914960315191E-4</v>
      </c>
      <c r="AG33" s="40">
        <f t="shared" si="16"/>
        <v>53.148877408439162</v>
      </c>
      <c r="AH33" s="32">
        <f t="shared" si="12"/>
        <v>-0.21019046465132837</v>
      </c>
      <c r="AI33" s="32">
        <f t="shared" si="4"/>
        <v>-0.21015070993591189</v>
      </c>
      <c r="AJ33" s="40">
        <f t="shared" si="5"/>
        <v>1.891724059776087E-2</v>
      </c>
      <c r="AK33" s="33">
        <f t="shared" si="13"/>
        <v>-1.19545826770443E-4</v>
      </c>
      <c r="AL33" s="32">
        <f t="shared" si="6"/>
        <v>-1.1952321627604989E-4</v>
      </c>
      <c r="AM33" s="40">
        <f t="shared" si="7"/>
        <v>1.8917240597750695E-2</v>
      </c>
      <c r="AN33" s="20"/>
      <c r="AO33" s="20"/>
      <c r="AP33" s="20"/>
      <c r="AQ33" s="20"/>
      <c r="AR33" s="20"/>
      <c r="AS33" s="20"/>
      <c r="AT33" s="20"/>
      <c r="AU33" s="20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</row>
    <row r="34" spans="1:82" ht="18">
      <c r="A34" s="1">
        <v>17</v>
      </c>
      <c r="B34" s="5">
        <v>37.999808784849542</v>
      </c>
      <c r="C34" s="5">
        <v>17</v>
      </c>
      <c r="D34" s="5">
        <v>4.3362026195341521</v>
      </c>
      <c r="E34" s="5">
        <v>17</v>
      </c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25">
        <f t="shared" si="0"/>
        <v>28</v>
      </c>
      <c r="T34" s="25">
        <f t="shared" si="1"/>
        <v>2.7000000000000011</v>
      </c>
      <c r="U34" s="25">
        <v>0.1</v>
      </c>
      <c r="V34" s="25">
        <f t="shared" si="17"/>
        <v>3.2369224534018475</v>
      </c>
      <c r="W34" s="25">
        <f t="shared" si="2"/>
        <v>3.236327639141404</v>
      </c>
      <c r="X34" s="38">
        <f t="shared" si="8"/>
        <v>1.8379296745162151E-2</v>
      </c>
      <c r="Y34" s="25">
        <f t="shared" si="18"/>
        <v>37.999804208129845</v>
      </c>
      <c r="Z34" s="26">
        <f t="shared" si="14"/>
        <v>37.999565661344761</v>
      </c>
      <c r="AA34" s="38">
        <f t="shared" si="9"/>
        <v>6.2776187288620614E-4</v>
      </c>
      <c r="AB34" s="36">
        <f t="shared" si="10"/>
        <v>-0.58234359534240765</v>
      </c>
      <c r="AC34" s="36">
        <f t="shared" si="11"/>
        <v>-0.56568323026562661</v>
      </c>
      <c r="AD34" s="39">
        <f t="shared" si="15"/>
        <v>2.9451757070751183</v>
      </c>
      <c r="AE34" s="32">
        <f t="shared" si="28"/>
        <v>-1.5753827330801121E-4</v>
      </c>
      <c r="AF34" s="32">
        <f t="shared" si="3"/>
        <v>-3.2173233721357507E-4</v>
      </c>
      <c r="AG34" s="40">
        <f t="shared" si="16"/>
        <v>51.034367675813442</v>
      </c>
      <c r="AH34" s="32">
        <f t="shared" si="12"/>
        <v>-0.20951230750578753</v>
      </c>
      <c r="AI34" s="32">
        <f t="shared" si="4"/>
        <v>-0.20950801319705134</v>
      </c>
      <c r="AJ34" s="40">
        <f t="shared" si="5"/>
        <v>2.0497109731799691E-3</v>
      </c>
      <c r="AK34" s="33">
        <f t="shared" si="13"/>
        <v>-1.1916012489391665E-4</v>
      </c>
      <c r="AL34" s="32">
        <f t="shared" si="6"/>
        <v>-1.1915768250582293E-4</v>
      </c>
      <c r="AM34" s="40">
        <f t="shared" si="7"/>
        <v>2.0497109731880858E-3</v>
      </c>
      <c r="AN34" s="20"/>
      <c r="AO34" s="20"/>
      <c r="AP34" s="20"/>
      <c r="AQ34" s="20"/>
      <c r="AR34" s="20"/>
      <c r="AS34" s="20"/>
      <c r="AT34" s="20"/>
      <c r="AU34" s="20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</row>
    <row r="35" spans="1:82" ht="18">
      <c r="A35" s="1">
        <v>18</v>
      </c>
      <c r="B35" s="5">
        <v>37.999786205300261</v>
      </c>
      <c r="C35" s="5">
        <v>18</v>
      </c>
      <c r="D35" s="5">
        <v>4.3759029539402903</v>
      </c>
      <c r="E35" s="5">
        <v>18</v>
      </c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25">
        <f t="shared" si="0"/>
        <v>29</v>
      </c>
      <c r="T35" s="25">
        <f t="shared" si="1"/>
        <v>2.8000000000000012</v>
      </c>
      <c r="U35" s="25">
        <v>0.1</v>
      </c>
      <c r="V35" s="25">
        <f t="shared" si="17"/>
        <v>3.1786880938676068</v>
      </c>
      <c r="W35" s="25">
        <f t="shared" si="2"/>
        <v>3.1814557393957319</v>
      </c>
      <c r="X35" s="38">
        <f t="shared" si="8"/>
        <v>8.6993054589871846E-2</v>
      </c>
      <c r="Y35" s="25">
        <f t="shared" si="18"/>
        <v>37.999788454302511</v>
      </c>
      <c r="Z35" s="26">
        <f t="shared" si="14"/>
        <v>37.999534452951778</v>
      </c>
      <c r="AA35" s="38">
        <f t="shared" si="9"/>
        <v>6.68432796321021E-4</v>
      </c>
      <c r="AB35" s="36">
        <f t="shared" si="10"/>
        <v>-0.60322482648027165</v>
      </c>
      <c r="AC35" s="36">
        <f t="shared" si="11"/>
        <v>-0.58467447186019139</v>
      </c>
      <c r="AD35" s="39">
        <f t="shared" si="15"/>
        <v>3.1727663020861385</v>
      </c>
      <c r="AE35" s="32">
        <f t="shared" ref="AE35:AE50" si="29">0+U35*AK35</f>
        <v>-1.1876200209660134E-5</v>
      </c>
      <c r="AF35" s="32">
        <f t="shared" si="3"/>
        <v>-3.3253360587048387E-4</v>
      </c>
      <c r="AG35" s="40">
        <f t="shared" si="16"/>
        <v>96.428571428571431</v>
      </c>
      <c r="AH35" s="32">
        <f t="shared" si="12"/>
        <v>-0.2088123113786397</v>
      </c>
      <c r="AI35" s="32">
        <f t="shared" si="4"/>
        <v>-0.20884855602341612</v>
      </c>
      <c r="AJ35" s="40">
        <f t="shared" si="5"/>
        <v>1.7354510592045357E-2</v>
      </c>
      <c r="AK35" s="33">
        <f t="shared" si="13"/>
        <v>-1.1876200209660133E-4</v>
      </c>
      <c r="AL35" s="32">
        <f t="shared" si="6"/>
        <v>-1.1878261623831792E-4</v>
      </c>
      <c r="AM35" s="40">
        <f t="shared" si="7"/>
        <v>1.7354510592042221E-2</v>
      </c>
      <c r="AN35" s="20"/>
      <c r="AO35" s="20"/>
      <c r="AP35" s="20"/>
      <c r="AQ35" s="20"/>
      <c r="AR35" s="20"/>
      <c r="AS35" s="20"/>
      <c r="AT35" s="20"/>
      <c r="AU35" s="20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</row>
    <row r="36" spans="1:82" ht="18">
      <c r="A36" s="1">
        <v>19</v>
      </c>
      <c r="B36" s="5">
        <v>37.999762352052137</v>
      </c>
      <c r="C36" s="5">
        <v>19</v>
      </c>
      <c r="D36" s="5">
        <v>4.417842762015483</v>
      </c>
      <c r="E36" s="5">
        <v>19</v>
      </c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25">
        <f t="shared" si="0"/>
        <v>30</v>
      </c>
      <c r="T36" s="25">
        <f t="shared" si="1"/>
        <v>2.9000000000000012</v>
      </c>
      <c r="U36" s="25">
        <v>0.1</v>
      </c>
      <c r="V36" s="25">
        <f t="shared" si="17"/>
        <v>3.1183656112195797</v>
      </c>
      <c r="W36" s="25">
        <f t="shared" si="2"/>
        <v>3.1249784913778154</v>
      </c>
      <c r="X36" s="38">
        <f t="shared" si="8"/>
        <v>0.21161362154912128</v>
      </c>
      <c r="Y36" s="25">
        <f t="shared" si="18"/>
        <v>37.999787266682489</v>
      </c>
      <c r="Z36" s="26">
        <f t="shared" si="20"/>
        <v>37.999502331516972</v>
      </c>
      <c r="AA36" s="38">
        <f t="shared" si="9"/>
        <v>7.4983920323838194E-4</v>
      </c>
      <c r="AB36" s="36">
        <f t="shared" si="10"/>
        <v>-0.62403389921801677</v>
      </c>
      <c r="AC36" s="36">
        <f t="shared" si="11"/>
        <v>-0.6034631093946099</v>
      </c>
      <c r="AD36" s="39">
        <f t="shared" si="15"/>
        <v>3.4087899497358429</v>
      </c>
      <c r="AE36" s="32">
        <f t="shared" ref="AE36" si="30">AE35+U36*AK36</f>
        <v>-2.3711360329252693E-5</v>
      </c>
      <c r="AF36" s="32">
        <f t="shared" si="3"/>
        <v>-3.4321964346818436E-4</v>
      </c>
      <c r="AG36" s="40">
        <f t="shared" si="16"/>
        <v>93.09149089205593</v>
      </c>
      <c r="AH36" s="32">
        <f t="shared" si="12"/>
        <v>-0.2080907273774516</v>
      </c>
      <c r="AI36" s="32">
        <f t="shared" si="4"/>
        <v>-0.20817305184819282</v>
      </c>
      <c r="AJ36" s="40">
        <f t="shared" si="5"/>
        <v>3.954617084696075E-2</v>
      </c>
      <c r="AK36" s="33">
        <f t="shared" si="13"/>
        <v>-1.1835160119592558E-4</v>
      </c>
      <c r="AL36" s="32">
        <f t="shared" si="6"/>
        <v>-1.1839842323865966E-4</v>
      </c>
      <c r="AM36" s="40">
        <f t="shared" si="7"/>
        <v>3.9546170846965573E-2</v>
      </c>
      <c r="AN36" s="20"/>
      <c r="AO36" s="20"/>
      <c r="AP36" s="20"/>
      <c r="AQ36" s="20"/>
      <c r="AR36" s="20"/>
      <c r="AS36" s="20"/>
      <c r="AT36" s="20"/>
      <c r="AU36" s="20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</row>
    <row r="37" spans="1:82" ht="18">
      <c r="A37" s="1">
        <v>20</v>
      </c>
      <c r="B37" s="5">
        <v>37.999737221919979</v>
      </c>
      <c r="C37" s="5">
        <v>20</v>
      </c>
      <c r="D37" s="5">
        <v>4.4620276442831885</v>
      </c>
      <c r="E37" s="5">
        <v>20</v>
      </c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25">
        <f t="shared" si="0"/>
        <v>31</v>
      </c>
      <c r="T37" s="25">
        <f t="shared" si="1"/>
        <v>3.0000000000000013</v>
      </c>
      <c r="U37" s="25">
        <v>0.1</v>
      </c>
      <c r="V37" s="25">
        <f t="shared" si="17"/>
        <v>3.0559622212977779</v>
      </c>
      <c r="W37" s="25">
        <f t="shared" si="2"/>
        <v>3.0669331275122493</v>
      </c>
      <c r="X37" s="38">
        <f t="shared" si="8"/>
        <v>0.35771586005758349</v>
      </c>
      <c r="Y37" s="25">
        <f t="shared" si="18"/>
        <v>37.999784895546455</v>
      </c>
      <c r="Z37" s="26">
        <f t="shared" si="14"/>
        <v>37.999469318216271</v>
      </c>
      <c r="AA37" s="38">
        <f t="shared" si="9"/>
        <v>8.3047825626577103E-4</v>
      </c>
      <c r="AB37" s="36">
        <f t="shared" si="10"/>
        <v>-0.64476871860663343</v>
      </c>
      <c r="AC37" s="36">
        <f t="shared" si="11"/>
        <v>-0.62204458165850018</v>
      </c>
      <c r="AD37" s="39">
        <f t="shared" si="15"/>
        <v>3.6531363857468175</v>
      </c>
      <c r="AE37" s="32">
        <f t="shared" ref="AE37" si="31">0+U37*AK37</f>
        <v>-1.1792928527275728E-5</v>
      </c>
      <c r="AF37" s="32">
        <f t="shared" si="3"/>
        <v>-3.5378785581827198E-4</v>
      </c>
      <c r="AG37" s="40">
        <f t="shared" si="16"/>
        <v>96.666666666666671</v>
      </c>
      <c r="AH37" s="32">
        <f t="shared" si="12"/>
        <v>-0.20734819388616665</v>
      </c>
      <c r="AI37" s="32">
        <f t="shared" si="4"/>
        <v>-0.2074822013354212</v>
      </c>
      <c r="AJ37" s="40">
        <f t="shared" si="5"/>
        <v>6.4587443352744175E-2</v>
      </c>
      <c r="AK37" s="33">
        <f t="shared" si="13"/>
        <v>-1.1792928527275727E-4</v>
      </c>
      <c r="AL37" s="32">
        <f t="shared" si="6"/>
        <v>-1.1800550200952081E-4</v>
      </c>
      <c r="AM37" s="40">
        <f t="shared" si="7"/>
        <v>6.458744335275772E-2</v>
      </c>
      <c r="AN37" s="20"/>
      <c r="AO37" s="20"/>
      <c r="AP37" s="20"/>
      <c r="AQ37" s="20"/>
      <c r="AR37" s="20"/>
      <c r="AS37" s="20"/>
      <c r="AT37" s="20"/>
      <c r="AU37" s="20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</row>
    <row r="38" spans="1:82" ht="18">
      <c r="A38" s="1">
        <v>21</v>
      </c>
      <c r="B38" s="5">
        <v>37.999710811535138</v>
      </c>
      <c r="C38" s="5">
        <v>21</v>
      </c>
      <c r="D38" s="5">
        <v>4.5084635238153856</v>
      </c>
      <c r="E38" s="5">
        <v>21</v>
      </c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25">
        <f t="shared" si="0"/>
        <v>32</v>
      </c>
      <c r="T38" s="25">
        <f t="shared" si="1"/>
        <v>3.1000000000000014</v>
      </c>
      <c r="U38" s="25">
        <v>0.1</v>
      </c>
      <c r="V38" s="25">
        <f t="shared" si="17"/>
        <v>2.9914853494371147</v>
      </c>
      <c r="W38" s="25">
        <f t="shared" si="2"/>
        <v>3.0073584018615822</v>
      </c>
      <c r="X38" s="38">
        <f t="shared" si="8"/>
        <v>0.52780714179732935</v>
      </c>
      <c r="Y38" s="25">
        <f t="shared" si="18"/>
        <v>37.999783716253603</v>
      </c>
      <c r="Z38" s="26">
        <f t="shared" si="14"/>
        <v>37.999435435091058</v>
      </c>
      <c r="AA38" s="38">
        <f t="shared" si="9"/>
        <v>9.1654299217027336E-4</v>
      </c>
      <c r="AB38" s="36">
        <f t="shared" si="10"/>
        <v>-0.66542723261575765</v>
      </c>
      <c r="AC38" s="36">
        <f t="shared" si="11"/>
        <v>-0.64041393428284976</v>
      </c>
      <c r="AD38" s="39">
        <f t="shared" si="15"/>
        <v>3.9058017001017244</v>
      </c>
      <c r="AE38" s="32">
        <f t="shared" si="28"/>
        <v>-2.3542458369965105E-5</v>
      </c>
      <c r="AF38" s="32">
        <f t="shared" si="3"/>
        <v>-3.6423542512337078E-4</v>
      </c>
      <c r="AG38" s="40">
        <f t="shared" si="16"/>
        <v>93.536472087526619</v>
      </c>
      <c r="AH38" s="32">
        <f t="shared" si="12"/>
        <v>-0.20658514009124176</v>
      </c>
      <c r="AI38" s="32">
        <f t="shared" si="4"/>
        <v>-0.20677671849927037</v>
      </c>
      <c r="AJ38" s="40">
        <f t="shared" si="5"/>
        <v>9.2649892801778225E-2</v>
      </c>
      <c r="AK38" s="33">
        <f t="shared" si="13"/>
        <v>-1.1749529842689374E-4</v>
      </c>
      <c r="AL38" s="32">
        <f t="shared" si="6"/>
        <v>-1.1760425864646001E-4</v>
      </c>
      <c r="AM38" s="40">
        <f t="shared" si="7"/>
        <v>9.2649892801780306E-2</v>
      </c>
      <c r="AN38" s="20"/>
      <c r="AO38" s="20"/>
      <c r="AP38" s="20"/>
      <c r="AQ38" s="20"/>
      <c r="AR38" s="20"/>
      <c r="AS38" s="20"/>
      <c r="AT38" s="20"/>
      <c r="AU38" s="20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</row>
    <row r="39" spans="1:82" ht="18">
      <c r="A39" s="1">
        <v>22</v>
      </c>
      <c r="B39" s="5">
        <v>37.999683117342975</v>
      </c>
      <c r="C39" s="5">
        <v>22</v>
      </c>
      <c r="D39" s="5">
        <v>4.5571566507235319</v>
      </c>
      <c r="E39" s="5">
        <v>22</v>
      </c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25">
        <f t="shared" si="0"/>
        <v>33</v>
      </c>
      <c r="T39" s="25">
        <f t="shared" si="1"/>
        <v>3.2000000000000015</v>
      </c>
      <c r="U39" s="25">
        <v>0.1</v>
      </c>
      <c r="V39" s="25">
        <f t="shared" si="17"/>
        <v>2.9249426261755391</v>
      </c>
      <c r="W39" s="25">
        <f t="shared" si="2"/>
        <v>2.9462934552845645</v>
      </c>
      <c r="X39" s="38">
        <f t="shared" si="8"/>
        <v>0.72466743157338587</v>
      </c>
      <c r="Y39" s="25">
        <f t="shared" si="18"/>
        <v>37.999781362007766</v>
      </c>
      <c r="Z39" s="26">
        <f t="shared" si="14"/>
        <v>37.999400704402696</v>
      </c>
      <c r="AA39" s="38">
        <f t="shared" si="9"/>
        <v>1.0017463381378087E-3</v>
      </c>
      <c r="AB39" s="36">
        <f t="shared" si="10"/>
        <v>-0.68600743856723101</v>
      </c>
      <c r="AC39" s="36">
        <f t="shared" si="11"/>
        <v>-0.65856659044714705</v>
      </c>
      <c r="AD39" s="39">
        <f t="shared" si="15"/>
        <v>4.1667537524872689</v>
      </c>
      <c r="AE39" s="32">
        <f t="shared" si="28"/>
        <v>-3.5247450504865566E-5</v>
      </c>
      <c r="AF39" s="32">
        <f t="shared" si="3"/>
        <v>-3.7455974831681488E-4</v>
      </c>
      <c r="AG39" s="40">
        <f t="shared" si="16"/>
        <v>90.589632051158858</v>
      </c>
      <c r="AH39" s="32">
        <f t="shared" si="12"/>
        <v>-0.20580205951473335</v>
      </c>
      <c r="AI39" s="32">
        <f t="shared" si="4"/>
        <v>-0.2060573162620282</v>
      </c>
      <c r="AJ39" s="40">
        <f t="shared" si="5"/>
        <v>0.12387657566609031</v>
      </c>
      <c r="AK39" s="33">
        <f t="shared" si="13"/>
        <v>-1.1704992134900459E-4</v>
      </c>
      <c r="AL39" s="32">
        <f t="shared" si="6"/>
        <v>-1.1719509862402853E-4</v>
      </c>
      <c r="AM39" s="40">
        <f t="shared" si="7"/>
        <v>0.12387657566609087</v>
      </c>
      <c r="AN39" s="20"/>
      <c r="AO39" s="20"/>
      <c r="AP39" s="20"/>
      <c r="AQ39" s="20"/>
      <c r="AR39" s="20"/>
      <c r="AS39" s="20"/>
      <c r="AT39" s="20"/>
      <c r="AU39" s="20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</row>
    <row r="40" spans="1:82" ht="18">
      <c r="A40" s="1">
        <v>23</v>
      </c>
      <c r="B40" s="5">
        <v>37.999654135600132</v>
      </c>
      <c r="C40" s="5">
        <v>23</v>
      </c>
      <c r="D40" s="5">
        <v>4.6081136069302175</v>
      </c>
      <c r="E40" s="5">
        <v>23</v>
      </c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25">
        <f t="shared" si="0"/>
        <v>34</v>
      </c>
      <c r="T40" s="25">
        <f t="shared" si="1"/>
        <v>3.3000000000000016</v>
      </c>
      <c r="U40" s="25">
        <v>0.1</v>
      </c>
      <c r="V40" s="25">
        <f t="shared" si="17"/>
        <v>2.8563418823188158</v>
      </c>
      <c r="W40" s="25">
        <f t="shared" si="2"/>
        <v>2.8837781319793958</v>
      </c>
      <c r="X40" s="38">
        <f t="shared" si="8"/>
        <v>0.95139946295896349</v>
      </c>
      <c r="Y40" s="25">
        <f t="shared" si="18"/>
        <v>37.99977783726272</v>
      </c>
      <c r="Z40" s="26">
        <f t="shared" si="14"/>
        <v>37.999365148812565</v>
      </c>
      <c r="AA40" s="38">
        <f t="shared" si="9"/>
        <v>1.0860403813020417E-3</v>
      </c>
      <c r="AB40" s="36">
        <f t="shared" si="10"/>
        <v>-0.70650738104694821</v>
      </c>
      <c r="AC40" s="36">
        <f t="shared" si="11"/>
        <v>-0.67649810183066883</v>
      </c>
      <c r="AD40" s="39">
        <f t="shared" si="15"/>
        <v>4.4359738977938576</v>
      </c>
      <c r="AE40" s="32">
        <f t="shared" si="28"/>
        <v>-4.6906792790204742E-5</v>
      </c>
      <c r="AF40" s="32">
        <f t="shared" si="3"/>
        <v>-3.8475829541619288E-4</v>
      </c>
      <c r="AG40" s="40">
        <f t="shared" si="16"/>
        <v>87.808763748819061</v>
      </c>
      <c r="AH40" s="32">
        <f t="shared" si="12"/>
        <v>-0.20499942479717226</v>
      </c>
      <c r="AI40" s="32">
        <f t="shared" si="4"/>
        <v>-0.20532470941230802</v>
      </c>
      <c r="AJ40" s="40">
        <f t="shared" si="5"/>
        <v>0.15842448581410631</v>
      </c>
      <c r="AK40" s="33">
        <f t="shared" si="13"/>
        <v>-1.1659342285339172E-4</v>
      </c>
      <c r="AL40" s="32">
        <f t="shared" si="6"/>
        <v>-1.1677842847825017E-4</v>
      </c>
      <c r="AM40" s="40">
        <f t="shared" si="7"/>
        <v>0.15842448581409418</v>
      </c>
      <c r="AN40" s="20"/>
      <c r="AO40" s="20"/>
      <c r="AP40" s="20"/>
      <c r="AQ40" s="20"/>
      <c r="AR40" s="20"/>
      <c r="AS40" s="20"/>
      <c r="AT40" s="20"/>
      <c r="AU40" s="20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</row>
    <row r="41" spans="1:82" ht="18">
      <c r="A41" s="1">
        <v>24</v>
      </c>
      <c r="B41" s="5">
        <v>37.999623862371649</v>
      </c>
      <c r="C41" s="5">
        <v>24</v>
      </c>
      <c r="D41" s="5">
        <v>4.6613413112305633</v>
      </c>
      <c r="E41" s="5">
        <v>24</v>
      </c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5">
        <f t="shared" si="0"/>
        <v>35</v>
      </c>
      <c r="T41" s="25">
        <f t="shared" si="1"/>
        <v>3.4000000000000017</v>
      </c>
      <c r="U41" s="25">
        <v>0.1</v>
      </c>
      <c r="V41" s="25">
        <f t="shared" si="17"/>
        <v>2.785691144214121</v>
      </c>
      <c r="W41" s="25">
        <f t="shared" si="2"/>
        <v>2.8198528052624683</v>
      </c>
      <c r="X41" s="38">
        <f t="shared" si="8"/>
        <v>1.2114696548909956</v>
      </c>
      <c r="Y41" s="25">
        <f t="shared" si="18"/>
        <v>37.999773146583443</v>
      </c>
      <c r="Z41" s="26">
        <f t="shared" si="14"/>
        <v>37.999328791282991</v>
      </c>
      <c r="AA41" s="38">
        <f t="shared" si="9"/>
        <v>1.1693767089749074E-3</v>
      </c>
      <c r="AB41" s="36">
        <f t="shared" si="10"/>
        <v>-0.72692515258219959</v>
      </c>
      <c r="AC41" s="36">
        <f t="shared" si="11"/>
        <v>-0.69420423219854788</v>
      </c>
      <c r="AD41" s="39">
        <f t="shared" si="15"/>
        <v>4.7134429417153516</v>
      </c>
      <c r="AE41" s="32">
        <f t="shared" si="28"/>
        <v>-5.8519400350878974E-5</v>
      </c>
      <c r="AF41" s="32">
        <f t="shared" si="3"/>
        <v>-3.948286570629241E-4</v>
      </c>
      <c r="AG41" s="40">
        <f t="shared" si="16"/>
        <v>85.178532686508447</v>
      </c>
      <c r="AH41" s="32">
        <f t="shared" si="12"/>
        <v>-0.20417771535251397</v>
      </c>
      <c r="AI41" s="32">
        <f t="shared" si="4"/>
        <v>-0.20457961176834003</v>
      </c>
      <c r="AJ41" s="40">
        <f t="shared" si="5"/>
        <v>0.1964498868446132</v>
      </c>
      <c r="AK41" s="33">
        <f t="shared" si="13"/>
        <v>-1.1612607560674232E-4</v>
      </c>
      <c r="AL41" s="32">
        <f t="shared" si="6"/>
        <v>-1.1635465419324338E-4</v>
      </c>
      <c r="AM41" s="40">
        <f t="shared" si="7"/>
        <v>0.19644988684460271</v>
      </c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</row>
    <row r="42" spans="1:82" ht="18">
      <c r="A42" s="1">
        <v>25</v>
      </c>
      <c r="B42" s="5">
        <v>37.999592293527932</v>
      </c>
      <c r="C42" s="5">
        <v>25</v>
      </c>
      <c r="D42" s="5">
        <v>4.7168470246530569</v>
      </c>
      <c r="E42" s="5">
        <v>25</v>
      </c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25">
        <f t="shared" si="0"/>
        <v>36</v>
      </c>
      <c r="T42" s="25">
        <f t="shared" si="1"/>
        <v>3.5000000000000018</v>
      </c>
      <c r="U42" s="25">
        <v>0.1</v>
      </c>
      <c r="V42" s="25">
        <f t="shared" si="17"/>
        <v>2.7129986289559009</v>
      </c>
      <c r="W42" s="25">
        <f t="shared" si="2"/>
        <v>2.7545583225054155</v>
      </c>
      <c r="X42" s="38">
        <f t="shared" si="8"/>
        <v>1.5087607043917619</v>
      </c>
      <c r="Y42" s="25">
        <f t="shared" si="18"/>
        <v>37.999767294643405</v>
      </c>
      <c r="Z42" s="26">
        <f t="shared" si="14"/>
        <v>37.999291655045923</v>
      </c>
      <c r="AA42" s="38">
        <f t="shared" si="9"/>
        <v>1.2517064839000845E-3</v>
      </c>
      <c r="AB42" s="36">
        <f t="shared" si="10"/>
        <v>-0.74725889425558056</v>
      </c>
      <c r="AC42" s="36">
        <f t="shared" si="11"/>
        <v>-0.71168095856833369</v>
      </c>
      <c r="AD42" s="39">
        <f t="shared" si="15"/>
        <v>4.9991411543197524</v>
      </c>
      <c r="AE42" s="32">
        <f t="shared" si="28"/>
        <v>-7.0084215927614387E-5</v>
      </c>
      <c r="AF42" s="32">
        <f t="shared" si="3"/>
        <v>-4.0476854518573972E-4</v>
      </c>
      <c r="AG42" s="40">
        <f t="shared" si="16"/>
        <v>82.685360124647474</v>
      </c>
      <c r="AH42" s="32">
        <f t="shared" si="12"/>
        <v>-0.20333741673380951</v>
      </c>
      <c r="AI42" s="32">
        <f t="shared" si="4"/>
        <v>-0.20382273481297752</v>
      </c>
      <c r="AJ42" s="40">
        <f t="shared" si="5"/>
        <v>0.23810792236368195</v>
      </c>
      <c r="AK42" s="33">
        <f t="shared" si="13"/>
        <v>-1.1564815576735415E-4</v>
      </c>
      <c r="AL42" s="32">
        <f t="shared" si="6"/>
        <v>-1.1592418042488096E-4</v>
      </c>
      <c r="AM42" s="40">
        <f t="shared" si="7"/>
        <v>0.23810792236368694</v>
      </c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</row>
    <row r="43" spans="1:82" ht="18">
      <c r="A43" s="1">
        <v>26</v>
      </c>
      <c r="B43" s="5">
        <v>37.99955942474152</v>
      </c>
      <c r="C43" s="5">
        <v>26</v>
      </c>
      <c r="D43" s="5">
        <v>4.7746383561302075</v>
      </c>
      <c r="E43" s="5">
        <v>26</v>
      </c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25">
        <f t="shared" si="0"/>
        <v>37</v>
      </c>
      <c r="T43" s="25">
        <f t="shared" si="1"/>
        <v>3.6000000000000019</v>
      </c>
      <c r="U43" s="25">
        <v>0.1</v>
      </c>
      <c r="V43" s="25">
        <f t="shared" si="17"/>
        <v>2.6382727395303429</v>
      </c>
      <c r="W43" s="25">
        <f t="shared" si="2"/>
        <v>2.6879359503886042</v>
      </c>
      <c r="X43" s="38">
        <f t="shared" si="8"/>
        <v>1.8476337150474631</v>
      </c>
      <c r="Y43" s="25">
        <f t="shared" si="18"/>
        <v>37.999760286221814</v>
      </c>
      <c r="Z43" s="26">
        <f t="shared" si="14"/>
        <v>37.999253763571787</v>
      </c>
      <c r="AA43" s="38">
        <f t="shared" si="9"/>
        <v>1.3329805189842955E-3</v>
      </c>
      <c r="AB43" s="36">
        <f t="shared" si="10"/>
        <v>-0.76750679625575646</v>
      </c>
      <c r="AC43" s="36">
        <f t="shared" si="11"/>
        <v>-0.7289244720063307</v>
      </c>
      <c r="AD43" s="39">
        <f t="shared" si="15"/>
        <v>5.2930482829352279</v>
      </c>
      <c r="AE43" s="32">
        <f t="shared" si="28"/>
        <v>-8.16002101902144E-5</v>
      </c>
      <c r="AF43" s="32">
        <f t="shared" si="3"/>
        <v>-4.1457579345360049E-4</v>
      </c>
      <c r="AG43" s="40">
        <f t="shared" si="16"/>
        <v>80.317179276086435</v>
      </c>
      <c r="AH43" s="32">
        <f t="shared" si="12"/>
        <v>-0.20247902000175841</v>
      </c>
      <c r="AI43" s="32">
        <f t="shared" si="4"/>
        <v>-0.20305478638427196</v>
      </c>
      <c r="AJ43" s="40">
        <f t="shared" si="5"/>
        <v>0.28355223374244537</v>
      </c>
      <c r="AK43" s="33">
        <f t="shared" si="13"/>
        <v>-1.1515994262600008E-4</v>
      </c>
      <c r="AL43" s="32">
        <f t="shared" si="6"/>
        <v>-1.1548740975605466E-4</v>
      </c>
      <c r="AM43" s="40">
        <f t="shared" si="7"/>
        <v>0.28355223374244221</v>
      </c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</row>
    <row r="44" spans="1:82" ht="18">
      <c r="A44" s="1">
        <v>27</v>
      </c>
      <c r="B44" s="5">
        <v>37.999525251483661</v>
      </c>
      <c r="C44" s="5">
        <v>27</v>
      </c>
      <c r="D44" s="5">
        <v>4.8347232684900954</v>
      </c>
      <c r="E44" s="5">
        <v>27</v>
      </c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25">
        <f t="shared" si="0"/>
        <v>38</v>
      </c>
      <c r="T44" s="25">
        <f t="shared" si="1"/>
        <v>3.700000000000002</v>
      </c>
      <c r="U44" s="25">
        <v>0.1</v>
      </c>
      <c r="V44" s="25">
        <f t="shared" si="17"/>
        <v>2.5615220599047674</v>
      </c>
      <c r="W44" s="25">
        <f t="shared" si="2"/>
        <v>2.620027320587786</v>
      </c>
      <c r="X44" s="38">
        <f t="shared" si="8"/>
        <v>2.23300193182311</v>
      </c>
      <c r="Y44" s="25">
        <f t="shared" si="18"/>
        <v>37.999752126200796</v>
      </c>
      <c r="Z44" s="26">
        <f t="shared" si="14"/>
        <v>37.999215140538581</v>
      </c>
      <c r="AA44" s="38">
        <f t="shared" si="9"/>
        <v>1.413149351188577E-3</v>
      </c>
      <c r="AB44" s="36">
        <f t="shared" si="10"/>
        <v>-0.78766709836550386</v>
      </c>
      <c r="AC44" s="36">
        <f t="shared" si="11"/>
        <v>-0.74593117806065568</v>
      </c>
      <c r="AD44" s="39">
        <f t="shared" si="15"/>
        <v>5.5951435644984411</v>
      </c>
      <c r="AE44" s="32">
        <f t="shared" si="28"/>
        <v>-9.3066382015133251E-5</v>
      </c>
      <c r="AF44" s="32">
        <f t="shared" si="3"/>
        <v>-4.2424835752199791E-4</v>
      </c>
      <c r="AG44" s="40">
        <f t="shared" si="16"/>
        <v>78.06323103789326</v>
      </c>
      <c r="AH44" s="32">
        <f t="shared" si="12"/>
        <v>-0.20160302109747441</v>
      </c>
      <c r="AI44" s="32">
        <f t="shared" si="4"/>
        <v>-0.20227646942444513</v>
      </c>
      <c r="AJ44" s="40">
        <f t="shared" si="5"/>
        <v>0.332934586453354</v>
      </c>
      <c r="AK44" s="33">
        <f t="shared" si="13"/>
        <v>-1.1466171824918856E-4</v>
      </c>
      <c r="AL44" s="32">
        <f t="shared" si="6"/>
        <v>-1.1504474198515316E-4</v>
      </c>
      <c r="AM44" s="40">
        <f t="shared" si="7"/>
        <v>0.33293458645335228</v>
      </c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</row>
    <row r="45" spans="1:82" ht="18">
      <c r="A45" s="1">
        <v>28</v>
      </c>
      <c r="B45" s="5">
        <v>37.999489769020741</v>
      </c>
      <c r="C45" s="5">
        <v>28</v>
      </c>
      <c r="D45" s="5">
        <v>4.897110084780687</v>
      </c>
      <c r="E45" s="5">
        <v>28</v>
      </c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25">
        <f t="shared" si="0"/>
        <v>39</v>
      </c>
      <c r="T45" s="25">
        <f t="shared" si="1"/>
        <v>3.800000000000002</v>
      </c>
      <c r="U45" s="25">
        <v>0.1</v>
      </c>
      <c r="V45" s="25">
        <f t="shared" si="17"/>
        <v>2.4827553500682171</v>
      </c>
      <c r="W45" s="25">
        <f t="shared" si="2"/>
        <v>2.550874376006242</v>
      </c>
      <c r="X45" s="38">
        <f t="shared" si="8"/>
        <v>2.670418683834793</v>
      </c>
      <c r="Y45" s="25">
        <f t="shared" si="18"/>
        <v>37.999742819562591</v>
      </c>
      <c r="Z45" s="26">
        <f t="shared" si="14"/>
        <v>37.999175809801351</v>
      </c>
      <c r="AA45" s="38">
        <f t="shared" si="9"/>
        <v>1.4921633144860439E-3</v>
      </c>
      <c r="AB45" s="36">
        <f t="shared" si="10"/>
        <v>-0.80773809038757804</v>
      </c>
      <c r="AC45" s="36">
        <f t="shared" si="11"/>
        <v>-0.76269769683881961</v>
      </c>
      <c r="AD45" s="39">
        <f t="shared" si="15"/>
        <v>5.9054057374814377</v>
      </c>
      <c r="AE45" s="32">
        <f t="shared" si="28"/>
        <v>-1.0448175872768794E-4</v>
      </c>
      <c r="AF45" s="32">
        <f t="shared" si="3"/>
        <v>-4.3378431507707862E-4</v>
      </c>
      <c r="AG45" s="40">
        <f t="shared" si="16"/>
        <v>75.913891974373783</v>
      </c>
      <c r="AH45" s="32">
        <f t="shared" si="12"/>
        <v>-0.20070992022074188</v>
      </c>
      <c r="AI45" s="32">
        <f t="shared" si="4"/>
        <v>-0.20148848078964998</v>
      </c>
      <c r="AJ45" s="40">
        <f t="shared" si="5"/>
        <v>0.3864045060327298</v>
      </c>
      <c r="AK45" s="33">
        <f t="shared" si="13"/>
        <v>-1.1415376712554694E-4</v>
      </c>
      <c r="AL45" s="32">
        <f t="shared" si="6"/>
        <v>-1.1459657344911343E-4</v>
      </c>
      <c r="AM45" s="40">
        <f t="shared" si="7"/>
        <v>0.38640450603273691</v>
      </c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19"/>
      <c r="BU45" s="19"/>
      <c r="BV45" s="19"/>
      <c r="BW45" s="19"/>
      <c r="BX45" s="19"/>
      <c r="BY45" s="19"/>
      <c r="BZ45" s="19"/>
      <c r="CA45" s="19"/>
      <c r="CB45" s="19"/>
      <c r="CC45" s="19"/>
      <c r="CD45" s="19"/>
    </row>
    <row r="46" spans="1:82" ht="18">
      <c r="A46" s="1">
        <v>29</v>
      </c>
      <c r="B46" s="5">
        <v>37.999452972410481</v>
      </c>
      <c r="C46" s="5">
        <v>29</v>
      </c>
      <c r="D46" s="5">
        <v>4.9618074949395483</v>
      </c>
      <c r="E46" s="5">
        <v>29</v>
      </c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25">
        <f t="shared" si="0"/>
        <v>40</v>
      </c>
      <c r="T46" s="25">
        <f t="shared" si="1"/>
        <v>3.9000000000000021</v>
      </c>
      <c r="U46" s="25">
        <v>0.1</v>
      </c>
      <c r="V46" s="25">
        <f t="shared" si="17"/>
        <v>2.4019815410294592</v>
      </c>
      <c r="W46" s="25">
        <f t="shared" si="2"/>
        <v>2.4805193176599767</v>
      </c>
      <c r="X46" s="38">
        <f t="shared" si="8"/>
        <v>3.166182825965933</v>
      </c>
      <c r="Y46" s="25">
        <f t="shared" si="18"/>
        <v>37.99973237138672</v>
      </c>
      <c r="Z46" s="26">
        <f t="shared" si="14"/>
        <v>37.999135795361916</v>
      </c>
      <c r="AA46" s="38">
        <f t="shared" si="9"/>
        <v>1.5699726120544544E-3</v>
      </c>
      <c r="AB46" s="36">
        <f t="shared" si="10"/>
        <v>-0.82771811250907734</v>
      </c>
      <c r="AC46" s="36">
        <f t="shared" si="11"/>
        <v>-0.77922086273847291</v>
      </c>
      <c r="AD46" s="39">
        <f t="shared" si="15"/>
        <v>6.2238130534861451</v>
      </c>
      <c r="AE46" s="32">
        <f t="shared" si="28"/>
        <v>-1.1584539630929067E-4</v>
      </c>
      <c r="AF46" s="32">
        <f t="shared" si="3"/>
        <v>-4.4318186568250638E-4</v>
      </c>
      <c r="AG46" s="40">
        <f t="shared" si="16"/>
        <v>73.860528762636278</v>
      </c>
      <c r="AH46" s="32">
        <f t="shared" si="12"/>
        <v>-0.19980022121499294</v>
      </c>
      <c r="AI46" s="32">
        <f t="shared" si="4"/>
        <v>-0.20069151012248465</v>
      </c>
      <c r="AJ46" s="40">
        <f t="shared" si="5"/>
        <v>0.44410892466140967</v>
      </c>
      <c r="AK46" s="33">
        <f t="shared" si="13"/>
        <v>-1.1363637581602722E-4</v>
      </c>
      <c r="AL46" s="32">
        <f t="shared" si="6"/>
        <v>-1.1414329638216314E-4</v>
      </c>
      <c r="AM46" s="40">
        <f t="shared" si="7"/>
        <v>0.44410892466141699</v>
      </c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19"/>
      <c r="BT46" s="19"/>
      <c r="BU46" s="19"/>
      <c r="BV46" s="19"/>
      <c r="BW46" s="19"/>
      <c r="BX46" s="19"/>
      <c r="BY46" s="19"/>
      <c r="BZ46" s="19"/>
      <c r="CA46" s="19"/>
      <c r="CB46" s="19"/>
      <c r="CC46" s="19"/>
      <c r="CD46" s="19"/>
    </row>
    <row r="47" spans="1:82" ht="18">
      <c r="A47" s="1">
        <v>30</v>
      </c>
      <c r="B47" s="5">
        <v>37.999414856497935</v>
      </c>
      <c r="C47" s="5">
        <v>30</v>
      </c>
      <c r="D47" s="5">
        <v>5.0288245628224688</v>
      </c>
      <c r="E47" s="5">
        <v>30</v>
      </c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25">
        <f t="shared" si="0"/>
        <v>41</v>
      </c>
      <c r="T47" s="25">
        <f t="shared" si="1"/>
        <v>4.0000000000000018</v>
      </c>
      <c r="U47" s="25">
        <v>0.1</v>
      </c>
      <c r="V47" s="25">
        <f t="shared" si="17"/>
        <v>2.3192097297785512</v>
      </c>
      <c r="W47" s="25">
        <f t="shared" si="2"/>
        <v>2.4090045523185473</v>
      </c>
      <c r="X47" s="38">
        <f t="shared" si="8"/>
        <v>3.7274658718918974</v>
      </c>
      <c r="Y47" s="25">
        <f t="shared" si="18"/>
        <v>37.999720786847092</v>
      </c>
      <c r="Z47" s="26">
        <f t="shared" si="20"/>
        <v>37.999095121339131</v>
      </c>
      <c r="AA47" s="38">
        <f t="shared" si="9"/>
        <v>1.6465273869369192E-3</v>
      </c>
      <c r="AB47" s="36">
        <f t="shared" si="10"/>
        <v>-0.84760555560509543</v>
      </c>
      <c r="AC47" s="36">
        <f t="shared" si="11"/>
        <v>-0.79549772384072603</v>
      </c>
      <c r="AD47" s="39">
        <f t="shared" si="15"/>
        <v>6.5503432885751902</v>
      </c>
      <c r="AE47" s="32">
        <f t="shared" si="28"/>
        <v>-1.2715637957015099E-4</v>
      </c>
      <c r="AF47" s="32">
        <f t="shared" si="3"/>
        <v>-4.5243933043441297E-4</v>
      </c>
      <c r="AG47" s="40">
        <f t="shared" si="16"/>
        <v>71.895374469752468</v>
      </c>
      <c r="AH47" s="32">
        <f t="shared" si="12"/>
        <v>-0.19887443096018143</v>
      </c>
      <c r="AI47" s="32">
        <f t="shared" si="4"/>
        <v>-0.19988623878880118</v>
      </c>
      <c r="AJ47" s="40">
        <f t="shared" si="5"/>
        <v>0.50619183929356482</v>
      </c>
      <c r="AK47" s="33">
        <f t="shared" si="13"/>
        <v>-1.1310983260860319E-4</v>
      </c>
      <c r="AL47" s="32">
        <f t="shared" si="6"/>
        <v>-1.1368529831113067E-4</v>
      </c>
      <c r="AM47" s="40">
        <f t="shared" si="7"/>
        <v>0.50619183929356248</v>
      </c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19"/>
      <c r="BS47" s="19"/>
      <c r="BT47" s="19"/>
      <c r="BU47" s="19"/>
      <c r="BV47" s="19"/>
      <c r="BW47" s="19"/>
      <c r="BX47" s="19"/>
      <c r="BY47" s="19"/>
      <c r="BZ47" s="19"/>
      <c r="CA47" s="19"/>
      <c r="CB47" s="19"/>
      <c r="CC47" s="19"/>
      <c r="CD47" s="19"/>
    </row>
    <row r="48" spans="1:82" ht="18">
      <c r="A48" s="1">
        <v>31</v>
      </c>
      <c r="B48" s="5">
        <v>37.999375415911288</v>
      </c>
      <c r="C48" s="5">
        <v>31</v>
      </c>
      <c r="D48" s="5">
        <v>5.0981707336054063</v>
      </c>
      <c r="E48" s="5">
        <v>31</v>
      </c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25">
        <f t="shared" si="0"/>
        <v>42</v>
      </c>
      <c r="T48" s="25">
        <f t="shared" si="1"/>
        <v>4.1000000000000014</v>
      </c>
      <c r="U48" s="25">
        <v>0.1</v>
      </c>
      <c r="V48" s="25">
        <f t="shared" si="17"/>
        <v>2.2344491742180415</v>
      </c>
      <c r="W48" s="25">
        <f t="shared" si="2"/>
        <v>2.3363726409989143</v>
      </c>
      <c r="X48" s="38">
        <f t="shared" si="8"/>
        <v>4.362466200481423</v>
      </c>
      <c r="Y48" s="25">
        <f t="shared" si="18"/>
        <v>37.999708071209135</v>
      </c>
      <c r="Z48" s="26">
        <f t="shared" si="14"/>
        <v>37.999053811939568</v>
      </c>
      <c r="AA48" s="38">
        <f t="shared" si="9"/>
        <v>1.7217777916382338E-3</v>
      </c>
      <c r="AB48" s="36">
        <f t="shared" si="10"/>
        <v>-0.86739886148256218</v>
      </c>
      <c r="AC48" s="36">
        <f t="shared" si="11"/>
        <v>-0.81152554097613905</v>
      </c>
      <c r="AD48" s="39">
        <f t="shared" si="15"/>
        <v>6.8849737543954816</v>
      </c>
      <c r="AE48" s="32">
        <f t="shared" si="28"/>
        <v>-1.3841382228796023E-4</v>
      </c>
      <c r="AF48" s="32">
        <f t="shared" si="3"/>
        <v>-4.6155515143017905E-4</v>
      </c>
      <c r="AG48" s="40">
        <f>ABS((AF48-AE48)/AF48)*100</f>
        <v>70.011422934167257</v>
      </c>
      <c r="AH48" s="32">
        <f t="shared" si="12"/>
        <v>-0.19793305877466799</v>
      </c>
      <c r="AI48" s="32">
        <f t="shared" si="4"/>
        <v>-0.19907333887995196</v>
      </c>
      <c r="AJ48" s="40">
        <f t="shared" si="5"/>
        <v>0.57279398220753075</v>
      </c>
      <c r="AK48" s="33">
        <f t="shared" si="13"/>
        <v>-1.1257442717809242E-4</v>
      </c>
      <c r="AL48" s="32">
        <f t="shared" si="6"/>
        <v>-1.1322296148797268E-4</v>
      </c>
      <c r="AM48" s="40">
        <f t="shared" si="7"/>
        <v>0.57279398220753286</v>
      </c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19"/>
      <c r="BR48" s="19"/>
      <c r="BS48" s="19"/>
      <c r="BT48" s="19"/>
      <c r="BU48" s="19"/>
      <c r="BV48" s="19"/>
      <c r="BW48" s="19"/>
      <c r="BX48" s="19"/>
      <c r="BY48" s="19"/>
      <c r="BZ48" s="19"/>
      <c r="CA48" s="19"/>
      <c r="CB48" s="19"/>
      <c r="CC48" s="19"/>
      <c r="CD48" s="19"/>
    </row>
    <row r="49" spans="1:82" ht="18">
      <c r="A49" s="1">
        <v>32</v>
      </c>
      <c r="B49" s="5">
        <v>37.999334645057409</v>
      </c>
      <c r="C49" s="5">
        <v>32</v>
      </c>
      <c r="D49" s="5">
        <v>5.1698558415751039</v>
      </c>
      <c r="E49" s="5">
        <v>32</v>
      </c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25">
        <f t="shared" si="0"/>
        <v>43</v>
      </c>
      <c r="T49" s="25">
        <f t="shared" si="1"/>
        <v>4.2000000000000011</v>
      </c>
      <c r="U49" s="25">
        <v>0.1</v>
      </c>
      <c r="V49" s="25">
        <f t="shared" si="17"/>
        <v>2.1477092880697852</v>
      </c>
      <c r="W49" s="25">
        <f t="shared" si="2"/>
        <v>2.2626662484042948</v>
      </c>
      <c r="X49" s="38">
        <f t="shared" si="8"/>
        <v>5.0805973004450342</v>
      </c>
      <c r="Y49" s="25">
        <f t="shared" si="18"/>
        <v>37.999694229826908</v>
      </c>
      <c r="Z49" s="26">
        <f t="shared" si="14"/>
        <v>37.999011891428779</v>
      </c>
      <c r="AA49" s="38">
        <f t="shared" si="9"/>
        <v>1.7956740561519452E-3</v>
      </c>
      <c r="AB49" s="36">
        <f t="shared" si="10"/>
        <v>-0.88709652306527986</v>
      </c>
      <c r="AC49" s="36">
        <f t="shared" si="11"/>
        <v>-0.8273017864741451</v>
      </c>
      <c r="AD49" s="39">
        <f t="shared" si="15"/>
        <v>7.2276813091353667</v>
      </c>
      <c r="AE49" s="32">
        <f t="shared" si="28"/>
        <v>-1.4961686731313094E-4</v>
      </c>
      <c r="AF49" s="32">
        <f t="shared" si="3"/>
        <v>-4.7052789105716999E-4</v>
      </c>
      <c r="AG49" s="40">
        <f t="shared" si="16"/>
        <v>68.202338233983212</v>
      </c>
      <c r="AH49" s="32">
        <f t="shared" si="12"/>
        <v>-0.19697661582717735</v>
      </c>
      <c r="AI49" s="32">
        <f t="shared" si="4"/>
        <v>-0.1982534722812227</v>
      </c>
      <c r="AJ49" s="40">
        <f t="shared" si="5"/>
        <v>0.64405250478242715</v>
      </c>
      <c r="AK49" s="33">
        <f t="shared" si="13"/>
        <v>-1.1203045025170712E-4</v>
      </c>
      <c r="AL49" s="32">
        <f t="shared" si="6"/>
        <v>-1.1275666235994539E-4</v>
      </c>
      <c r="AM49" s="40">
        <f t="shared" si="7"/>
        <v>0.64405250478241072</v>
      </c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19"/>
      <c r="BQ49" s="19"/>
      <c r="BR49" s="19"/>
      <c r="BS49" s="19"/>
      <c r="BT49" s="19"/>
      <c r="BU49" s="19"/>
      <c r="BV49" s="19"/>
      <c r="BW49" s="19"/>
      <c r="BX49" s="19"/>
      <c r="BY49" s="19"/>
      <c r="BZ49" s="19"/>
      <c r="CA49" s="19"/>
      <c r="CB49" s="19"/>
      <c r="CC49" s="19"/>
      <c r="CD49" s="19"/>
    </row>
    <row r="50" spans="1:82" ht="18">
      <c r="A50" s="1">
        <v>33</v>
      </c>
      <c r="B50" s="5">
        <v>37.999292538117217</v>
      </c>
      <c r="C50" s="5">
        <v>33</v>
      </c>
      <c r="D50" s="5">
        <v>5.2438901183247824</v>
      </c>
      <c r="E50" s="5">
        <v>33</v>
      </c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25">
        <f t="shared" si="0"/>
        <v>44</v>
      </c>
      <c r="T50" s="25">
        <f t="shared" si="1"/>
        <v>4.3000000000000007</v>
      </c>
      <c r="U50" s="25">
        <v>0.1</v>
      </c>
      <c r="V50" s="25">
        <f t="shared" si="17"/>
        <v>2.0589996357632572</v>
      </c>
      <c r="W50" s="25">
        <f t="shared" si="2"/>
        <v>2.1879280933944241</v>
      </c>
      <c r="X50" s="38">
        <f t="shared" si="8"/>
        <v>5.8927191446745866</v>
      </c>
      <c r="Y50" s="25">
        <f t="shared" si="18"/>
        <v>37.999679268140177</v>
      </c>
      <c r="Z50" s="26">
        <f t="shared" si="14"/>
        <v>37.99896938410312</v>
      </c>
      <c r="AA50" s="38">
        <f t="shared" si="9"/>
        <v>1.8681665544181493E-3</v>
      </c>
      <c r="AB50" s="36">
        <f t="shared" si="10"/>
        <v>-0.9066970845212623</v>
      </c>
      <c r="AC50" s="36">
        <f t="shared" si="11"/>
        <v>-0.84282414260724459</v>
      </c>
      <c r="AD50" s="39">
        <f t="shared" si="15"/>
        <v>7.5784423683485365</v>
      </c>
      <c r="AE50" s="32">
        <f t="shared" si="29"/>
        <v>-1.1147819328090007E-5</v>
      </c>
      <c r="AF50" s="32">
        <f t="shared" si="3"/>
        <v>-4.7935623110787037E-4</v>
      </c>
      <c r="AG50" s="40">
        <f t="shared" si="16"/>
        <v>97.674418604651166</v>
      </c>
      <c r="AH50" s="32">
        <f t="shared" si="12"/>
        <v>-0.19600561455982429</v>
      </c>
      <c r="AI50" s="32">
        <f t="shared" si="4"/>
        <v>-0.19742728980683377</v>
      </c>
      <c r="AJ50" s="40">
        <f t="shared" si="5"/>
        <v>0.72010067524123478</v>
      </c>
      <c r="AK50" s="33">
        <f t="shared" si="13"/>
        <v>-1.1147819328090007E-4</v>
      </c>
      <c r="AL50" s="32">
        <f t="shared" si="6"/>
        <v>-1.1228677107763669E-4</v>
      </c>
      <c r="AM50" s="40">
        <f t="shared" si="7"/>
        <v>0.72010067524122201</v>
      </c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19"/>
      <c r="BP50" s="19"/>
      <c r="BQ50" s="19"/>
      <c r="BR50" s="19"/>
      <c r="BS50" s="19"/>
      <c r="BT50" s="19"/>
      <c r="BU50" s="19"/>
      <c r="BV50" s="19"/>
      <c r="BW50" s="19"/>
      <c r="BX50" s="19"/>
      <c r="BY50" s="19"/>
      <c r="BZ50" s="19"/>
      <c r="CA50" s="19"/>
      <c r="CB50" s="19"/>
      <c r="CC50" s="19"/>
      <c r="CD50" s="19"/>
    </row>
    <row r="51" spans="1:82" ht="18">
      <c r="A51" s="1">
        <v>34</v>
      </c>
      <c r="B51" s="5">
        <v>37.999249089040752</v>
      </c>
      <c r="C51" s="5">
        <v>34</v>
      </c>
      <c r="D51" s="5">
        <v>5.3202842013723659</v>
      </c>
      <c r="E51" s="5">
        <v>34</v>
      </c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25">
        <f t="shared" si="0"/>
        <v>45</v>
      </c>
      <c r="T51" s="25">
        <f t="shared" si="1"/>
        <v>4.4000000000000004</v>
      </c>
      <c r="U51" s="25">
        <v>0.1</v>
      </c>
      <c r="V51" s="25">
        <f t="shared" si="17"/>
        <v>1.968329927311131</v>
      </c>
      <c r="W51" s="25">
        <f t="shared" si="2"/>
        <v>2.1122024683501621</v>
      </c>
      <c r="X51" s="38">
        <f t="shared" si="8"/>
        <v>6.8114938409010453</v>
      </c>
      <c r="Y51" s="25">
        <f t="shared" si="18"/>
        <v>37.999678153358246</v>
      </c>
      <c r="Z51" s="26">
        <f t="shared" si="14"/>
        <v>37.998926315153874</v>
      </c>
      <c r="AA51" s="38">
        <f t="shared" si="9"/>
        <v>1.9785774948933607E-3</v>
      </c>
      <c r="AB51" s="36">
        <f t="shared" si="10"/>
        <v>-0.9261991251374796</v>
      </c>
      <c r="AC51" s="36">
        <f t="shared" si="11"/>
        <v>-0.85808978711356254</v>
      </c>
      <c r="AD51" s="39">
        <f t="shared" si="15"/>
        <v>7.9373206681579154</v>
      </c>
      <c r="AE51" s="32">
        <f t="shared" ref="AE51" si="32">AE50+U51*AK51</f>
        <v>-2.223960492856361E-5</v>
      </c>
      <c r="AF51" s="32">
        <f t="shared" si="3"/>
        <v>-4.8803856642083861E-4</v>
      </c>
      <c r="AG51" s="40">
        <f t="shared" si="16"/>
        <v>95.443064040683566</v>
      </c>
      <c r="AH51" s="32">
        <f t="shared" si="12"/>
        <v>-0.19502040616217328</v>
      </c>
      <c r="AI51" s="32">
        <f t="shared" si="4"/>
        <v>-0.19659544756908687</v>
      </c>
      <c r="AJ51" s="40">
        <f t="shared" si="5"/>
        <v>0.80115863637182649</v>
      </c>
      <c r="AK51" s="33">
        <f t="shared" si="13"/>
        <v>-1.1091785600473604E-4</v>
      </c>
      <c r="AL51" s="32">
        <f t="shared" si="6"/>
        <v>-1.1181366080491814E-4</v>
      </c>
      <c r="AM51" s="40">
        <f t="shared" si="7"/>
        <v>0.80115863637182627</v>
      </c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</row>
    <row r="52" spans="1:82" ht="18">
      <c r="A52" s="1">
        <v>35</v>
      </c>
      <c r="B52" s="5">
        <v>37.999204291542043</v>
      </c>
      <c r="C52" s="5">
        <v>35</v>
      </c>
      <c r="D52" s="5">
        <v>5.3990491432198775</v>
      </c>
      <c r="E52" s="5">
        <v>35</v>
      </c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25">
        <f t="shared" si="0"/>
        <v>46</v>
      </c>
      <c r="T52" s="25">
        <f t="shared" si="1"/>
        <v>4.5</v>
      </c>
      <c r="U52" s="25">
        <v>0.1</v>
      </c>
      <c r="V52" s="25">
        <f t="shared" si="17"/>
        <v>1.8757100147973831</v>
      </c>
      <c r="W52" s="25">
        <f t="shared" si="2"/>
        <v>2.0355306074059385</v>
      </c>
      <c r="X52" s="38">
        <f t="shared" si="8"/>
        <v>7.8515445568381459</v>
      </c>
      <c r="Y52" s="25">
        <f t="shared" si="18"/>
        <v>37.999675929397753</v>
      </c>
      <c r="Z52" s="26">
        <f t="shared" si="14"/>
        <v>37.998882708032966</v>
      </c>
      <c r="AA52" s="38">
        <f t="shared" si="9"/>
        <v>2.0874860213191695E-3</v>
      </c>
      <c r="AB52" s="36">
        <f t="shared" si="10"/>
        <v>-0.94560129197791476</v>
      </c>
      <c r="AC52" s="36">
        <f t="shared" si="11"/>
        <v>-0.87309750781958273</v>
      </c>
      <c r="AD52" s="39">
        <f t="shared" si="15"/>
        <v>8.3042023953771533</v>
      </c>
      <c r="AE52" s="32">
        <f>AE51+U52*AK52</f>
        <v>-3.3274587319061115E-5</v>
      </c>
      <c r="AF52" s="32">
        <f t="shared" si="3"/>
        <v>-4.9657420757238762E-4</v>
      </c>
      <c r="AG52" s="40">
        <f t="shared" si="16"/>
        <v>93.299171239333731</v>
      </c>
      <c r="AH52" s="32">
        <f t="shared" si="12"/>
        <v>-0.19402166840435173</v>
      </c>
      <c r="AI52" s="32">
        <f t="shared" si="4"/>
        <v>-0.19575855581729712</v>
      </c>
      <c r="AJ52" s="40">
        <f t="shared" si="5"/>
        <v>0.88726002584859809</v>
      </c>
      <c r="AK52" s="33">
        <f t="shared" si="13"/>
        <v>-1.1034982390497503E-4</v>
      </c>
      <c r="AL52" s="32">
        <f t="shared" si="6"/>
        <v>-1.1133767862108773E-4</v>
      </c>
      <c r="AM52" s="40">
        <f t="shared" si="7"/>
        <v>0.88726002584860619</v>
      </c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</row>
    <row r="53" spans="1:82" ht="18">
      <c r="A53" s="1">
        <v>36</v>
      </c>
      <c r="B53" s="5">
        <v>37.99915813909368</v>
      </c>
      <c r="C53" s="5">
        <v>36</v>
      </c>
      <c r="D53" s="5">
        <v>5.4801964208738712</v>
      </c>
      <c r="E53" s="5">
        <v>36</v>
      </c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25">
        <f t="shared" si="0"/>
        <v>47</v>
      </c>
      <c r="T53" s="25">
        <f t="shared" si="1"/>
        <v>4.5999999999999996</v>
      </c>
      <c r="U53" s="25">
        <v>0.1</v>
      </c>
      <c r="V53" s="25">
        <f t="shared" si="17"/>
        <v>1.7811498855995915</v>
      </c>
      <c r="W53" s="25">
        <f t="shared" si="2"/>
        <v>1.957955107060235</v>
      </c>
      <c r="X53" s="38">
        <f t="shared" si="8"/>
        <v>9.0300957781461637</v>
      </c>
      <c r="Y53" s="25">
        <f t="shared" si="18"/>
        <v>37.999672601939018</v>
      </c>
      <c r="Z53" s="26">
        <f t="shared" si="14"/>
        <v>37.998838586967139</v>
      </c>
      <c r="AA53" s="38">
        <f t="shared" si="9"/>
        <v>2.1948433238828573E-3</v>
      </c>
      <c r="AB53" s="36">
        <f t="shared" si="10"/>
        <v>-0.96490228340456663</v>
      </c>
      <c r="AC53" s="36">
        <f t="shared" si="11"/>
        <v>-0.8878456056259848</v>
      </c>
      <c r="AD53" s="39">
        <f t="shared" si="15"/>
        <v>8.6790628111801293</v>
      </c>
      <c r="AE53" s="32">
        <f t="shared" ref="AE53" si="33">AE52+U53*AK53</f>
        <v>-4.4252026192969352E-5</v>
      </c>
      <c r="AF53" s="32">
        <f t="shared" si="3"/>
        <v>-5.0496218819977886E-4</v>
      </c>
      <c r="AG53" s="40">
        <f t="shared" si="16"/>
        <v>91.236566375250689</v>
      </c>
      <c r="AH53" s="32">
        <f t="shared" si="12"/>
        <v>-0.19300991426651845</v>
      </c>
      <c r="AI53" s="32">
        <f t="shared" si="4"/>
        <v>-0.19491722760992339</v>
      </c>
      <c r="AJ53" s="40">
        <f t="shared" si="5"/>
        <v>0.97852476499508467</v>
      </c>
      <c r="AK53" s="33">
        <f t="shared" si="13"/>
        <v>-1.0977438873908237E-4</v>
      </c>
      <c r="AL53" s="32">
        <f t="shared" si="6"/>
        <v>-1.1085917320314392E-4</v>
      </c>
      <c r="AM53" s="40">
        <f t="shared" si="7"/>
        <v>0.97852476499507324</v>
      </c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</row>
    <row r="54" spans="1:82" ht="18">
      <c r="A54" s="1">
        <v>37</v>
      </c>
      <c r="B54" s="5">
        <v>37.99911062492113</v>
      </c>
      <c r="C54" s="5">
        <v>37</v>
      </c>
      <c r="D54" s="5">
        <v>5.5637379458480822</v>
      </c>
      <c r="E54" s="5">
        <v>37</v>
      </c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25">
        <f t="shared" si="0"/>
        <v>48</v>
      </c>
      <c r="T54" s="25">
        <f t="shared" si="1"/>
        <v>4.6999999999999993</v>
      </c>
      <c r="U54" s="25">
        <v>0.1</v>
      </c>
      <c r="V54" s="25">
        <f t="shared" si="17"/>
        <v>1.6846596572591348</v>
      </c>
      <c r="W54" s="25">
        <f t="shared" si="2"/>
        <v>1.879518431480756</v>
      </c>
      <c r="X54" s="38">
        <f t="shared" si="8"/>
        <v>10.367484083042703</v>
      </c>
      <c r="Y54" s="25">
        <f t="shared" si="18"/>
        <v>37.9996681767364</v>
      </c>
      <c r="Z54" s="26">
        <f t="shared" si="14"/>
        <v>37.998793976107905</v>
      </c>
      <c r="AA54" s="38">
        <f t="shared" si="9"/>
        <v>2.3006009849797066E-3</v>
      </c>
      <c r="AB54" s="36">
        <f t="shared" si="10"/>
        <v>-0.984100848986452</v>
      </c>
      <c r="AC54" s="36">
        <f t="shared" si="11"/>
        <v>-0.90233258234861469</v>
      </c>
      <c r="AD54" s="39">
        <f t="shared" si="15"/>
        <v>9.0618767666583366</v>
      </c>
      <c r="AE54" s="32">
        <f>AE53+U54*AK54</f>
        <v>-5.5171210367666684E-5</v>
      </c>
      <c r="AF54" s="32">
        <f t="shared" si="3"/>
        <v>-5.1320165621077454E-4</v>
      </c>
      <c r="AG54" s="40">
        <f t="shared" si="16"/>
        <v>89.249603990949012</v>
      </c>
      <c r="AH54" s="32">
        <f t="shared" si="12"/>
        <v>-0.19198565581885421</v>
      </c>
      <c r="AI54" s="32">
        <f t="shared" si="4"/>
        <v>-0.19407206213353848</v>
      </c>
      <c r="AJ54" s="40">
        <f t="shared" si="5"/>
        <v>1.0750678339516146</v>
      </c>
      <c r="AK54" s="33">
        <f t="shared" si="13"/>
        <v>-1.0919184174697332E-4</v>
      </c>
      <c r="AL54" s="32">
        <f t="shared" si="6"/>
        <v>-1.1037848533845E-4</v>
      </c>
      <c r="AM54" s="40">
        <f t="shared" si="7"/>
        <v>1.0750678339516258</v>
      </c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</row>
    <row r="55" spans="1:82" ht="18">
      <c r="A55" s="1">
        <v>38</v>
      </c>
      <c r="B55" s="5">
        <v>37.999061741996769</v>
      </c>
      <c r="C55" s="5">
        <v>38</v>
      </c>
      <c r="D55" s="5">
        <v>5.6496860746708979</v>
      </c>
      <c r="E55" s="5">
        <v>38</v>
      </c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25">
        <f t="shared" si="0"/>
        <v>49</v>
      </c>
      <c r="T55" s="25">
        <f t="shared" si="1"/>
        <v>4.7999999999999989</v>
      </c>
      <c r="U55" s="25">
        <v>0.1</v>
      </c>
      <c r="V55" s="25">
        <f t="shared" si="17"/>
        <v>1.5862495723604897</v>
      </c>
      <c r="W55" s="25">
        <f t="shared" si="2"/>
        <v>1.8002628692298046</v>
      </c>
      <c r="X55" s="38">
        <f t="shared" si="8"/>
        <v>11.887891514469489</v>
      </c>
      <c r="Y55" s="25">
        <f t="shared" si="18"/>
        <v>37.99966265961536</v>
      </c>
      <c r="Z55" s="26">
        <f t="shared" si="14"/>
        <v>37.998748899506872</v>
      </c>
      <c r="AA55" s="38">
        <f t="shared" si="9"/>
        <v>2.4047110364220901E-3</v>
      </c>
      <c r="AB55" s="36">
        <f t="shared" si="10"/>
        <v>-1.003195789357721</v>
      </c>
      <c r="AC55" s="36">
        <f t="shared" si="11"/>
        <v>-0.91655713782091508</v>
      </c>
      <c r="AD55" s="39">
        <f t="shared" si="15"/>
        <v>9.4526187142884002</v>
      </c>
      <c r="AE55" s="32">
        <f t="shared" ref="AE55" si="34">AE54+U55*AK55</f>
        <v>-6.6031457703825963E-5</v>
      </c>
      <c r="AF55" s="32">
        <f t="shared" si="3"/>
        <v>-5.2129187213564539E-4</v>
      </c>
      <c r="AG55" s="40">
        <f t="shared" si="16"/>
        <v>87.333111979416429</v>
      </c>
      <c r="AH55" s="32">
        <f t="shared" si="12"/>
        <v>-0.19094940371269067</v>
      </c>
      <c r="AI55" s="32">
        <f t="shared" si="4"/>
        <v>-0.19322364416501997</v>
      </c>
      <c r="AJ55" s="40">
        <f t="shared" si="5"/>
        <v>1.1769990479979833</v>
      </c>
      <c r="AK55" s="33">
        <f t="shared" si="13"/>
        <v>-1.0860247336159282E-4</v>
      </c>
      <c r="AL55" s="32">
        <f t="shared" si="6"/>
        <v>-1.0989594761885509E-4</v>
      </c>
      <c r="AM55" s="40">
        <f t="shared" si="7"/>
        <v>1.1769990479979733</v>
      </c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</row>
    <row r="56" spans="1:82" ht="18">
      <c r="A56" s="1">
        <v>39</v>
      </c>
      <c r="B56" s="5">
        <v>37.999011483033591</v>
      </c>
      <c r="C56" s="5">
        <v>39</v>
      </c>
      <c r="D56" s="5">
        <v>5.7380536199217476</v>
      </c>
      <c r="E56" s="5">
        <v>39</v>
      </c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25">
        <f t="shared" si="0"/>
        <v>50</v>
      </c>
      <c r="T56" s="25">
        <f t="shared" si="1"/>
        <v>4.8999999999999986</v>
      </c>
      <c r="U56" s="25">
        <v>0.1</v>
      </c>
      <c r="V56" s="25">
        <f t="shared" si="17"/>
        <v>1.4859299934247177</v>
      </c>
      <c r="W56" s="25">
        <f t="shared" si="2"/>
        <v>1.7202304914183002</v>
      </c>
      <c r="X56" s="38">
        <f t="shared" si="8"/>
        <v>13.620296766185433</v>
      </c>
      <c r="Y56" s="25">
        <f t="shared" si="18"/>
        <v>37.99965605646959</v>
      </c>
      <c r="Z56" s="26">
        <f t="shared" si="14"/>
        <v>37.998703381091993</v>
      </c>
      <c r="AA56" s="38">
        <f t="shared" si="9"/>
        <v>2.507126014387356E-3</v>
      </c>
      <c r="AB56" s="36">
        <f t="shared" si="10"/>
        <v>-1.0221859560264566</v>
      </c>
      <c r="AC56" s="36">
        <f t="shared" si="11"/>
        <v>-0.930518166768041</v>
      </c>
      <c r="AD56" s="39">
        <f t="shared" si="15"/>
        <v>9.8512627192228113</v>
      </c>
      <c r="AE56" s="32">
        <f t="shared" ref="AE56" si="35">0+U56*AK56</f>
        <v>-1.0800657292843336E-5</v>
      </c>
      <c r="AF56" s="32">
        <f t="shared" si="3"/>
        <v>-5.2923220734932329E-4</v>
      </c>
      <c r="AG56" s="40">
        <f t="shared" si="16"/>
        <v>97.959183673469383</v>
      </c>
      <c r="AH56" s="32">
        <f t="shared" si="12"/>
        <v>-0.18990166668735536</v>
      </c>
      <c r="AI56" s="32">
        <f t="shared" si="4"/>
        <v>-0.19237254359599737</v>
      </c>
      <c r="AJ56" s="40">
        <f t="shared" si="5"/>
        <v>1.2844228508155029</v>
      </c>
      <c r="AK56" s="33">
        <f t="shared" si="13"/>
        <v>-1.0800657292843336E-4</v>
      </c>
      <c r="AL56" s="32">
        <f t="shared" si="6"/>
        <v>-1.0941188417022349E-4</v>
      </c>
      <c r="AM56" s="40">
        <f t="shared" si="7"/>
        <v>1.2844228508154938</v>
      </c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</row>
    <row r="57" spans="1:82" ht="18">
      <c r="A57" s="1">
        <v>40</v>
      </c>
      <c r="B57" s="5">
        <v>37.998959840478619</v>
      </c>
      <c r="C57" s="5">
        <v>40</v>
      </c>
      <c r="D57" s="5">
        <v>5.8288538618221439</v>
      </c>
      <c r="E57" s="5">
        <v>40</v>
      </c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20"/>
      <c r="Y57" s="29"/>
      <c r="Z57" s="19"/>
      <c r="AA57" s="19"/>
      <c r="AB57" s="37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19"/>
      <c r="BI57" s="19"/>
      <c r="BJ57" s="19"/>
      <c r="BK57" s="19"/>
      <c r="BL57" s="19"/>
      <c r="BM57" s="19"/>
      <c r="BN57" s="19"/>
      <c r="BO57" s="19"/>
      <c r="BP57" s="19"/>
      <c r="BQ57" s="19"/>
      <c r="BR57" s="19"/>
      <c r="BS57" s="19"/>
      <c r="BT57" s="19"/>
      <c r="BU57" s="19"/>
      <c r="BV57" s="19"/>
      <c r="BW57" s="19"/>
      <c r="BX57" s="19"/>
      <c r="BY57" s="19"/>
      <c r="BZ57" s="19"/>
      <c r="CA57" s="19"/>
      <c r="CB57" s="19"/>
      <c r="CC57" s="19"/>
      <c r="CD57" s="19"/>
    </row>
    <row r="58" spans="1:82" ht="18">
      <c r="A58" s="1"/>
      <c r="B58" s="5">
        <v>37.998906806506</v>
      </c>
      <c r="C58" s="5">
        <v>41</v>
      </c>
      <c r="D58" s="5">
        <v>5.9221005604088264</v>
      </c>
      <c r="E58" s="5">
        <v>41</v>
      </c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20"/>
      <c r="Y58" s="2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19"/>
      <c r="BH58" s="19"/>
      <c r="BI58" s="19"/>
      <c r="BJ58" s="19"/>
      <c r="BK58" s="19"/>
      <c r="BL58" s="19"/>
      <c r="BM58" s="19"/>
      <c r="BN58" s="19"/>
      <c r="BO58" s="19"/>
      <c r="BP58" s="19"/>
      <c r="BQ58" s="19"/>
      <c r="BR58" s="19"/>
      <c r="BS58" s="19"/>
      <c r="BT58" s="19"/>
      <c r="BU58" s="19"/>
      <c r="BV58" s="19"/>
      <c r="BW58" s="19"/>
      <c r="BX58" s="19"/>
      <c r="BY58" s="19"/>
      <c r="BZ58" s="19"/>
      <c r="CA58" s="19"/>
      <c r="CB58" s="19"/>
      <c r="CC58" s="19"/>
      <c r="CD58" s="19"/>
    </row>
    <row r="59" spans="1:82" ht="15.75">
      <c r="B59">
        <v>37.998852373009697</v>
      </c>
      <c r="C59">
        <v>42</v>
      </c>
      <c r="D59">
        <v>6.0178079683183308</v>
      </c>
      <c r="E59">
        <v>42</v>
      </c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20"/>
      <c r="Y59" s="2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19"/>
      <c r="BG59" s="19"/>
      <c r="BH59" s="19"/>
      <c r="BI59" s="19"/>
      <c r="BJ59" s="19"/>
      <c r="BK59" s="19"/>
      <c r="BL59" s="19"/>
      <c r="BM59" s="19"/>
      <c r="BN59" s="19"/>
      <c r="BO59" s="19"/>
      <c r="BP59" s="19"/>
      <c r="BQ59" s="19"/>
      <c r="BR59" s="19"/>
      <c r="BS59" s="19"/>
      <c r="BT59" s="19"/>
      <c r="BU59" s="19"/>
      <c r="BV59" s="19"/>
      <c r="BW59" s="19"/>
      <c r="BX59" s="19"/>
      <c r="BY59" s="19"/>
      <c r="BZ59" s="19"/>
      <c r="CA59" s="19"/>
      <c r="CB59" s="19"/>
      <c r="CC59" s="19"/>
      <c r="CD59" s="19"/>
    </row>
    <row r="60" spans="1:82" s="19" customFormat="1" ht="15.75">
      <c r="B60" s="19">
        <v>37.9987965315959</v>
      </c>
      <c r="C60" s="19">
        <v>43</v>
      </c>
      <c r="D60" s="19">
        <v>6.1159908442142994</v>
      </c>
      <c r="E60" s="19">
        <v>43</v>
      </c>
      <c r="X60" s="20"/>
      <c r="Y60" s="29"/>
    </row>
    <row r="61" spans="1:82" s="19" customFormat="1">
      <c r="B61" s="19">
        <v>37.998739273574955</v>
      </c>
      <c r="C61" s="19">
        <v>44</v>
      </c>
      <c r="D61" s="19">
        <v>6.2166644668909985</v>
      </c>
      <c r="E61" s="19">
        <v>44</v>
      </c>
    </row>
    <row r="62" spans="1:82" s="19" customFormat="1">
      <c r="B62" s="19">
        <v>37.998680589952983</v>
      </c>
      <c r="C62" s="19">
        <v>45</v>
      </c>
      <c r="D62" s="19">
        <v>6.319844650088827</v>
      </c>
      <c r="E62" s="19">
        <v>45</v>
      </c>
    </row>
    <row r="63" spans="1:82" s="19" customFormat="1">
      <c r="B63" s="19">
        <v>37.998620471422988</v>
      </c>
      <c r="C63" s="19">
        <v>46</v>
      </c>
      <c r="D63" s="19">
        <v>6.4255477580600804</v>
      </c>
      <c r="E63" s="19">
        <v>46</v>
      </c>
    </row>
    <row r="64" spans="1:82" s="19" customFormat="1">
      <c r="B64" s="19">
        <v>37.998558908355591</v>
      </c>
      <c r="C64" s="19">
        <v>47</v>
      </c>
      <c r="D64" s="19">
        <v>6.5337907219259304</v>
      </c>
      <c r="E64" s="19">
        <v>47</v>
      </c>
    </row>
    <row r="65" spans="2:5" s="19" customFormat="1">
      <c r="B65" s="19">
        <v>37.998495890789215</v>
      </c>
      <c r="C65" s="19">
        <v>48</v>
      </c>
      <c r="D65" s="19">
        <v>6.6445910568684701</v>
      </c>
      <c r="E65" s="19">
        <v>48</v>
      </c>
    </row>
    <row r="66" spans="2:5" s="19" customFormat="1">
      <c r="B66" s="19">
        <v>37.99843140841984</v>
      </c>
      <c r="C66" s="19">
        <v>49</v>
      </c>
      <c r="D66" s="19">
        <v>6.7579668802048198</v>
      </c>
      <c r="E66" s="19">
        <v>49</v>
      </c>
    </row>
    <row r="67" spans="2:5" s="19" customFormat="1">
      <c r="B67" s="19">
        <v>37.998365450590171</v>
      </c>
      <c r="C67" s="19">
        <v>50</v>
      </c>
      <c r="D67" s="19">
        <v>6.8739369303936453</v>
      </c>
      <c r="E67" s="19">
        <v>50</v>
      </c>
    </row>
    <row r="68" spans="2:5" s="19" customFormat="1">
      <c r="B68" s="19">
        <v>37.998298006278283</v>
      </c>
      <c r="C68" s="19">
        <v>51</v>
      </c>
      <c r="D68" s="19">
        <v>6.9925205870281353</v>
      </c>
      <c r="E68" s="19">
        <v>51</v>
      </c>
    </row>
    <row r="69" spans="2:5" s="19" customFormat="1">
      <c r="B69" s="19">
        <v>37.998229064085635</v>
      </c>
      <c r="C69" s="19">
        <v>52</v>
      </c>
      <c r="D69" s="19">
        <v>7.1137378918734289</v>
      </c>
      <c r="E69" s="19">
        <v>52</v>
      </c>
    </row>
    <row r="70" spans="2:5" s="19" customFormat="1">
      <c r="B70" s="19">
        <v>37.998158612224493</v>
      </c>
      <c r="C70" s="19">
        <v>53</v>
      </c>
      <c r="D70" s="19">
        <v>7.2376095710107897</v>
      </c>
      <c r="E70" s="19">
        <v>53</v>
      </c>
    </row>
    <row r="71" spans="2:5" s="19" customFormat="1">
      <c r="B71" s="19">
        <v>37.998086638504674</v>
      </c>
      <c r="C71" s="19">
        <v>54</v>
      </c>
      <c r="D71" s="19">
        <v>7.3641570581555014</v>
      </c>
      <c r="E71" s="19">
        <v>54</v>
      </c>
    </row>
    <row r="72" spans="2:5" s="19" customFormat="1">
      <c r="B72" s="19">
        <v>37.998013130319549</v>
      </c>
      <c r="C72" s="19">
        <v>55</v>
      </c>
      <c r="D72" s="19">
        <v>7.493402519220516</v>
      </c>
      <c r="E72" s="19">
        <v>55</v>
      </c>
    </row>
    <row r="73" spans="2:5" s="19" customFormat="1">
      <c r="B73" s="19">
        <v>37.99793807463135</v>
      </c>
      <c r="C73" s="19">
        <v>56</v>
      </c>
      <c r="D73" s="19">
        <v>7.6253688782034201</v>
      </c>
      <c r="E73" s="19">
        <v>56</v>
      </c>
    </row>
    <row r="74" spans="2:5" s="19" customFormat="1">
      <c r="B74" s="19">
        <v>37.997861457955629</v>
      </c>
      <c r="C74" s="19">
        <v>57</v>
      </c>
      <c r="D74" s="19">
        <v>7.7600798444802628</v>
      </c>
      <c r="E74" s="19">
        <v>57</v>
      </c>
    </row>
    <row r="75" spans="2:5" s="19" customFormat="1">
      <c r="B75" s="19">
        <v>37.997783266344889</v>
      </c>
      <c r="C75" s="19">
        <v>58</v>
      </c>
      <c r="D75" s="19">
        <v>7.8975599415963655</v>
      </c>
      <c r="E75" s="19">
        <v>58</v>
      </c>
    </row>
    <row r="76" spans="2:5" s="19" customFormat="1">
      <c r="B76" s="19">
        <v>37.997703485371304</v>
      </c>
      <c r="C76" s="19">
        <v>59</v>
      </c>
      <c r="D76" s="19">
        <v>8.0378345376513405</v>
      </c>
      <c r="E76" s="19">
        <v>59</v>
      </c>
    </row>
    <row r="77" spans="2:5" s="19" customFormat="1">
      <c r="B77" s="19">
        <v>37.997622100108465</v>
      </c>
      <c r="C77" s="19">
        <v>60</v>
      </c>
      <c r="D77" s="19">
        <v>8.1809298773833703</v>
      </c>
      <c r="E77" s="19">
        <v>60</v>
      </c>
    </row>
    <row r="78" spans="2:5" s="19" customFormat="1">
      <c r="B78" s="19">
        <v>37.997539095112117</v>
      </c>
      <c r="C78" s="19">
        <v>61</v>
      </c>
      <c r="D78" s="19">
        <v>8.326873116066297</v>
      </c>
      <c r="E78" s="19">
        <v>61</v>
      </c>
    </row>
    <row r="79" spans="2:5" s="19" customFormat="1">
      <c r="B79" s="19">
        <v>37.997454454399765</v>
      </c>
      <c r="C79" s="19">
        <v>62</v>
      </c>
      <c r="D79" s="19">
        <v>8.4756923553424315</v>
      </c>
      <c r="E79" s="19">
        <v>62</v>
      </c>
    </row>
    <row r="80" spans="2:5" s="19" customFormat="1">
      <c r="B80" s="19">
        <v>37.997368161429122</v>
      </c>
      <c r="C80" s="19">
        <v>63</v>
      </c>
      <c r="D80" s="19">
        <v>8.6274166811241972</v>
      </c>
      <c r="E80" s="19">
        <v>63</v>
      </c>
    </row>
    <row r="81" spans="2:5" s="19" customFormat="1">
      <c r="B81" s="19">
        <v>37.997280199075291</v>
      </c>
      <c r="C81" s="19">
        <v>64</v>
      </c>
      <c r="D81" s="19">
        <v>8.7820762037089608</v>
      </c>
      <c r="E81" s="19">
        <v>64</v>
      </c>
    </row>
    <row r="82" spans="2:5" s="19" customFormat="1">
      <c r="B82" s="19">
        <v>37.997190549606621</v>
      </c>
      <c r="C82" s="19">
        <v>65</v>
      </c>
      <c r="D82" s="19">
        <v>8.9397021002637107</v>
      </c>
      <c r="E82" s="19">
        <v>65</v>
      </c>
    </row>
    <row r="83" spans="2:5" s="19" customFormat="1">
      <c r="B83" s="19">
        <v>37.997099194659079</v>
      </c>
      <c r="C83" s="19">
        <v>66</v>
      </c>
      <c r="D83" s="19">
        <v>9.1003266598498271</v>
      </c>
      <c r="E83" s="19">
        <v>66</v>
      </c>
    </row>
    <row r="84" spans="2:5">
      <c r="B84">
        <v>37.997006115209096</v>
      </c>
      <c r="C84">
        <v>67</v>
      </c>
      <c r="D84">
        <v>9.2639833311731135</v>
      </c>
      <c r="E84">
        <v>67</v>
      </c>
    </row>
    <row r="85" spans="2:5">
      <c r="B85">
        <v>37.996911291544748</v>
      </c>
      <c r="C85">
        <v>68</v>
      </c>
      <c r="D85">
        <v>9.4307067732607219</v>
      </c>
      <c r="E85">
        <v>68</v>
      </c>
    </row>
    <row r="86" spans="2:5">
      <c r="B86">
        <v>37.99681470323516</v>
      </c>
      <c r="C86">
        <v>69</v>
      </c>
      <c r="D86">
        <v>9.6005329092848086</v>
      </c>
      <c r="E86">
        <v>69</v>
      </c>
    </row>
    <row r="87" spans="2:5">
      <c r="B87">
        <v>37.996716329097943</v>
      </c>
      <c r="C87">
        <v>70</v>
      </c>
      <c r="D87">
        <v>9.7734989837728676</v>
      </c>
      <c r="E87">
        <v>70</v>
      </c>
    </row>
    <row r="88" spans="2:5">
      <c r="B88">
        <v>37.996616147164602</v>
      </c>
      <c r="C88">
        <v>71</v>
      </c>
      <c r="D88">
        <v>9.949643623466951</v>
      </c>
      <c r="E88">
        <v>71</v>
      </c>
    </row>
    <row r="89" spans="2:5">
      <c r="B89">
        <v>37.996514134643668</v>
      </c>
      <c r="C89">
        <v>72</v>
      </c>
      <c r="D89">
        <v>10.129006902118734</v>
      </c>
      <c r="E89">
        <v>72</v>
      </c>
    </row>
    <row r="90" spans="2:5">
      <c r="B90">
        <v>37.996410267881444</v>
      </c>
      <c r="C90">
        <v>73</v>
      </c>
      <c r="D90">
        <v>10.31163040953477</v>
      </c>
      <c r="E90">
        <v>73</v>
      </c>
    </row>
    <row r="91" spans="2:5">
      <c r="B91">
        <v>37.996304522320123</v>
      </c>
      <c r="C91">
        <v>74</v>
      </c>
      <c r="D91">
        <v>10.497557325216855</v>
      </c>
      <c r="E91">
        <v>74</v>
      </c>
    </row>
    <row r="92" spans="2:5">
      <c r="B92">
        <v>37.996196872453069</v>
      </c>
      <c r="C92">
        <v>75</v>
      </c>
      <c r="D92">
        <v>10.686832496976432</v>
      </c>
      <c r="E92">
        <v>75</v>
      </c>
    </row>
    <row r="93" spans="2:5">
      <c r="B93">
        <v>37.996087291777044</v>
      </c>
      <c r="C93">
        <v>76</v>
      </c>
      <c r="D93">
        <v>10.879502524939916</v>
      </c>
      <c r="E93">
        <v>76</v>
      </c>
    </row>
    <row r="94" spans="2:5">
      <c r="B94">
        <v>37.99597575274111</v>
      </c>
      <c r="C94">
        <v>77</v>
      </c>
      <c r="D94">
        <v>11.075615851404276</v>
      </c>
      <c r="E94">
        <v>77</v>
      </c>
    </row>
    <row r="95" spans="2:5">
      <c r="B95">
        <v>37.995862226691898</v>
      </c>
      <c r="C95">
        <v>78</v>
      </c>
      <c r="D95">
        <v>11.275222857049785</v>
      </c>
      <c r="E95">
        <v>78</v>
      </c>
    </row>
    <row r="96" spans="2:5">
      <c r="B96">
        <v>37.995746683814971</v>
      </c>
      <c r="C96">
        <v>79</v>
      </c>
      <c r="D96">
        <v>11.47837596407012</v>
      </c>
      <c r="E96">
        <v>79</v>
      </c>
    </row>
    <row r="97" spans="2:5">
      <c r="B97">
        <v>37.995629093071877</v>
      </c>
      <c r="C97">
        <v>80</v>
      </c>
      <c r="D97">
        <v>11.685129746840007</v>
      </c>
      <c r="E97">
        <v>80</v>
      </c>
    </row>
    <row r="98" spans="2:5">
      <c r="B98">
        <v>37.995509422132521</v>
      </c>
      <c r="C98">
        <v>81</v>
      </c>
      <c r="D98">
        <v>11.895541050808118</v>
      </c>
      <c r="E98">
        <v>81</v>
      </c>
    </row>
    <row r="99" spans="2:5">
      <c r="B99">
        <v>37.995387637302457</v>
      </c>
      <c r="C99">
        <v>82</v>
      </c>
      <c r="D99">
        <v>12.109669120379095</v>
      </c>
      <c r="E99">
        <v>82</v>
      </c>
    </row>
    <row r="100" spans="2:5">
      <c r="B100">
        <v>37.995263703444543</v>
      </c>
      <c r="C100">
        <v>83</v>
      </c>
      <c r="D100">
        <v>12.327575736634754</v>
      </c>
      <c r="E100">
        <v>83</v>
      </c>
    </row>
    <row r="101" spans="2:5">
      <c r="B101">
        <v>37.995137583894497</v>
      </c>
      <c r="C101">
        <v>84</v>
      </c>
      <c r="D101">
        <v>12.549325365842181</v>
      </c>
      <c r="E101">
        <v>84</v>
      </c>
    </row>
    <row r="102" spans="2:5">
      <c r="B102">
        <v>37.995009240369676</v>
      </c>
      <c r="C102">
        <v>85</v>
      </c>
      <c r="D102">
        <v>12.774985319807262</v>
      </c>
      <c r="E102">
        <v>85</v>
      </c>
    </row>
    <row r="103" spans="2:5">
      <c r="B103">
        <v>37.994878632870495</v>
      </c>
      <c r="C103">
        <v>86</v>
      </c>
      <c r="D103">
        <v>13.004625929258436</v>
      </c>
      <c r="E103">
        <v>86</v>
      </c>
    </row>
    <row r="104" spans="2:5">
      <c r="B104">
        <v>37.994745719573643</v>
      </c>
      <c r="C104">
        <v>87</v>
      </c>
      <c r="D104">
        <v>13.238320731589436</v>
      </c>
      <c r="E104">
        <v>87</v>
      </c>
    </row>
    <row r="105" spans="2:5">
      <c r="B105">
        <v>37.994610456716288</v>
      </c>
      <c r="C105">
        <v>88</v>
      </c>
      <c r="D105">
        <v>13.476146674454482</v>
      </c>
      <c r="E105">
        <v>88</v>
      </c>
    </row>
    <row r="106" spans="2:5">
      <c r="B106">
        <v>37.994472798470319</v>
      </c>
      <c r="C106">
        <v>89</v>
      </c>
      <c r="D106">
        <v>13.718184336898211</v>
      </c>
      <c r="E106">
        <v>89</v>
      </c>
    </row>
    <row r="107" spans="2:5">
      <c r="B107">
        <v>37.994332696805536</v>
      </c>
      <c r="C107">
        <v>90</v>
      </c>
      <c r="D107">
        <v>13.964518169919755</v>
      </c>
      <c r="E107">
        <v>90</v>
      </c>
    </row>
    <row r="108" spans="2:5">
      <c r="B108">
        <v>37.994190101340557</v>
      </c>
      <c r="C108">
        <v>91</v>
      </c>
      <c r="D108">
        <v>14.215236758620595</v>
      </c>
      <c r="E108">
        <v>91</v>
      </c>
    </row>
    <row r="109" spans="2:5">
      <c r="B109">
        <v>37.994044959180073</v>
      </c>
      <c r="C109">
        <v>92</v>
      </c>
      <c r="D109">
        <v>14.470433108375202</v>
      </c>
      <c r="E109">
        <v>92</v>
      </c>
    </row>
    <row r="110" spans="2:5">
      <c r="B110">
        <v>37.99389721473684</v>
      </c>
      <c r="C110">
        <v>93</v>
      </c>
      <c r="D110">
        <v>14.730204957798888</v>
      </c>
      <c r="E110">
        <v>93</v>
      </c>
    </row>
    <row r="111" spans="2:5">
      <c r="B111">
        <v>37.993746809536667</v>
      </c>
      <c r="C111">
        <v>94</v>
      </c>
      <c r="D111">
        <v>14.99465512167753</v>
      </c>
      <c r="E111">
        <v>94</v>
      </c>
    </row>
    <row r="112" spans="2:5">
      <c r="B112">
        <v>37.993593682004274</v>
      </c>
      <c r="C112">
        <v>95</v>
      </c>
      <c r="D112">
        <v>15.263891867479048</v>
      </c>
      <c r="E112">
        <v>95</v>
      </c>
    </row>
    <row r="113" spans="2:5">
      <c r="B113">
        <v>37.993437767227711</v>
      </c>
      <c r="C113">
        <v>96</v>
      </c>
      <c r="D113">
        <v>15.538029329599572</v>
      </c>
      <c r="E113">
        <v>96</v>
      </c>
    </row>
    <row r="114" spans="2:5">
      <c r="B114">
        <v>37.993278996698592</v>
      </c>
      <c r="C114">
        <v>97</v>
      </c>
      <c r="D114">
        <v>15.817187966123409</v>
      </c>
      <c r="E114">
        <v>97</v>
      </c>
    </row>
    <row r="115" spans="2:5">
      <c r="B115">
        <v>37.993117298024998</v>
      </c>
      <c r="C115">
        <v>98</v>
      </c>
      <c r="D115">
        <v>16.101495063614315</v>
      </c>
      <c r="E115">
        <v>98</v>
      </c>
    </row>
    <row r="116" spans="2:5">
      <c r="B116">
        <v>37.992952594613456</v>
      </c>
      <c r="C116">
        <v>99</v>
      </c>
      <c r="D116">
        <v>16.391085296329599</v>
      </c>
      <c r="E116">
        <v>99</v>
      </c>
    </row>
    <row r="117" spans="2:5">
      <c r="B117">
        <v>37.992784805315729</v>
      </c>
      <c r="C117">
        <v>100</v>
      </c>
      <c r="D117">
        <v>16.686101347287334</v>
      </c>
      <c r="E117">
        <v>100</v>
      </c>
    </row>
    <row r="118" spans="2:5">
      <c r="B118">
        <v>37.992613844035489</v>
      </c>
      <c r="C118">
        <v>101</v>
      </c>
      <c r="D118">
        <v>16.986694599856545</v>
      </c>
      <c r="E118">
        <v>101</v>
      </c>
    </row>
    <row r="119" spans="2:5">
      <c r="B119">
        <v>37.992439619289129</v>
      </c>
      <c r="C119">
        <v>102</v>
      </c>
      <c r="D119">
        <v>17.29302591002639</v>
      </c>
      <c r="E119">
        <v>102</v>
      </c>
    </row>
    <row r="120" spans="2:5">
      <c r="B120">
        <v>37.992262033713871</v>
      </c>
      <c r="C120">
        <v>103</v>
      </c>
      <c r="D120">
        <v>17.605266471299903</v>
      </c>
      <c r="E120">
        <v>103</v>
      </c>
    </row>
    <row r="121" spans="2:5">
      <c r="B121">
        <v>37.992080983515201</v>
      </c>
      <c r="C121">
        <v>104</v>
      </c>
      <c r="D121">
        <v>17.923598786323787</v>
      </c>
      <c r="E121">
        <v>104</v>
      </c>
    </row>
    <row r="122" spans="2:5">
      <c r="B122">
        <v>37.991896357844077</v>
      </c>
      <c r="C122">
        <v>105</v>
      </c>
      <c r="D122">
        <v>18.24821776200055</v>
      </c>
      <c r="E122">
        <v>105</v>
      </c>
    </row>
    <row r="123" spans="2:5">
      <c r="B123">
        <v>37.991708038092519</v>
      </c>
      <c r="C123">
        <v>106</v>
      </c>
      <c r="D123">
        <v>18.579331948051703</v>
      </c>
      <c r="E123">
        <v>106</v>
      </c>
    </row>
    <row r="124" spans="2:5">
      <c r="B124">
        <v>37.991515897094068</v>
      </c>
      <c r="C124">
        <v>107</v>
      </c>
      <c r="D124">
        <v>18.91716494296519</v>
      </c>
      <c r="E124">
        <v>107</v>
      </c>
    </row>
    <row r="125" spans="2:5">
      <c r="B125">
        <v>37.991319798212594</v>
      </c>
      <c r="C125">
        <v>108</v>
      </c>
      <c r="D125">
        <v>19.26195699616656</v>
      </c>
      <c r="E125">
        <v>108</v>
      </c>
    </row>
    <row r="126" spans="2:5">
      <c r="B126">
        <v>37.991119594299683</v>
      </c>
      <c r="C126">
        <v>109</v>
      </c>
      <c r="D126">
        <v>19.613966841365482</v>
      </c>
      <c r="E126">
        <v>109</v>
      </c>
    </row>
    <row r="127" spans="2:5">
      <c r="B127">
        <v>37.99091512649629</v>
      </c>
      <c r="C127">
        <v>110</v>
      </c>
      <c r="D127">
        <v>19.973473803695178</v>
      </c>
      <c r="E127">
        <v>110</v>
      </c>
    </row>
    <row r="128" spans="2:5">
      <c r="B128">
        <v>37.990706222848949</v>
      </c>
      <c r="C128">
        <v>111</v>
      </c>
      <c r="D128">
        <v>20.340780232948248</v>
      </c>
      <c r="E128">
        <v>111</v>
      </c>
    </row>
    <row r="129" spans="2:5">
      <c r="B129">
        <v>37.990492696703789</v>
      </c>
      <c r="C129">
        <v>112</v>
      </c>
      <c r="D129">
        <v>20.716214327545678</v>
      </c>
      <c r="E129">
        <v>112</v>
      </c>
    </row>
    <row r="130" spans="2:5">
      <c r="B130">
        <v>37.990274344832578</v>
      </c>
      <c r="C130">
        <v>113</v>
      </c>
      <c r="D130">
        <v>21.100133429712059</v>
      </c>
      <c r="E130">
        <v>113</v>
      </c>
    </row>
    <row r="131" spans="2:5">
      <c r="B131">
        <v>37.990050945233342</v>
      </c>
      <c r="C131">
        <v>114</v>
      </c>
      <c r="D131">
        <v>21.49292789284593</v>
      </c>
      <c r="E131">
        <v>114</v>
      </c>
    </row>
    <row r="132" spans="2:5">
      <c r="B132">
        <v>37.989822254532953</v>
      </c>
      <c r="C132">
        <v>115</v>
      </c>
      <c r="D132">
        <v>21.895025648909154</v>
      </c>
      <c r="E132">
        <v>115</v>
      </c>
    </row>
    <row r="133" spans="2:5">
      <c r="B133">
        <v>37.989588004898707</v>
      </c>
      <c r="C133">
        <v>116</v>
      </c>
      <c r="D133">
        <v>22.306897639123878</v>
      </c>
      <c r="E133">
        <v>116</v>
      </c>
    </row>
    <row r="134" spans="2:5">
      <c r="B134">
        <v>37.98934790033919</v>
      </c>
      <c r="C134">
        <v>117</v>
      </c>
      <c r="D134">
        <v>22.729064318661408</v>
      </c>
      <c r="E134">
        <v>117</v>
      </c>
    </row>
    <row r="135" spans="2:5">
      <c r="B135">
        <v>37.989101612238123</v>
      </c>
      <c r="C135">
        <v>118</v>
      </c>
      <c r="D135">
        <v>23.162103510118847</v>
      </c>
      <c r="E135">
        <v>118</v>
      </c>
    </row>
    <row r="136" spans="2:5">
      <c r="B136">
        <v>37.988848773914924</v>
      </c>
      <c r="C136">
        <v>119</v>
      </c>
      <c r="D136">
        <v>23.606659968450714</v>
      </c>
      <c r="E136">
        <v>119</v>
      </c>
    </row>
    <row r="137" spans="2:5">
      <c r="B137">
        <v>37.988588973936345</v>
      </c>
      <c r="C137">
        <v>120</v>
      </c>
      <c r="D137">
        <v>24.063457142201582</v>
      </c>
      <c r="E137">
        <v>120</v>
      </c>
    </row>
    <row r="138" spans="2:5">
      <c r="B138">
        <v>37.988321747805301</v>
      </c>
      <c r="C138">
        <v>121</v>
      </c>
      <c r="D138">
        <v>24.533311788461994</v>
      </c>
      <c r="E138">
        <v>121</v>
      </c>
    </row>
    <row r="139" spans="2:5">
      <c r="B139">
        <v>37.988046567512022</v>
      </c>
      <c r="C139">
        <v>122</v>
      </c>
      <c r="D139">
        <v>25.01715234699466</v>
      </c>
      <c r="E139">
        <v>122</v>
      </c>
    </row>
    <row r="140" spans="2:5">
      <c r="B140">
        <v>37.987762828226025</v>
      </c>
      <c r="C140">
        <v>123</v>
      </c>
      <c r="D140">
        <v>25.516042342340093</v>
      </c>
      <c r="E140">
        <v>123</v>
      </c>
    </row>
    <row r="141" spans="2:5">
      <c r="B141">
        <v>37.987469831098245</v>
      </c>
      <c r="C141">
        <v>124</v>
      </c>
      <c r="D141">
        <v>26.031210626531852</v>
      </c>
      <c r="E141">
        <v>124</v>
      </c>
    </row>
    <row r="142" spans="2:5">
      <c r="B142">
        <v>37.9871667606686</v>
      </c>
      <c r="C142">
        <v>125</v>
      </c>
      <c r="D142">
        <v>26.564091108645222</v>
      </c>
      <c r="E142">
        <v>125</v>
      </c>
    </row>
    <row r="143" spans="2:5">
      <c r="B143">
        <v>37.986852654627889</v>
      </c>
      <c r="C143">
        <v>126</v>
      </c>
      <c r="D143">
        <v>27.11637593009177</v>
      </c>
      <c r="E143">
        <v>126</v>
      </c>
    </row>
    <row r="144" spans="2:5">
      <c r="B144">
        <v>37.986526362471082</v>
      </c>
      <c r="C144">
        <v>127</v>
      </c>
      <c r="D144">
        <v>27.690088176048743</v>
      </c>
      <c r="E144">
        <v>127</v>
      </c>
    </row>
    <row r="145" spans="2:5">
      <c r="B145">
        <v>37.98618648754077</v>
      </c>
      <c r="C145">
        <v>128</v>
      </c>
      <c r="D145">
        <v>28.287683798285094</v>
      </c>
      <c r="E145">
        <v>128</v>
      </c>
    </row>
    <row r="146" spans="2:5">
      <c r="B146">
        <v>37.985831303388807</v>
      </c>
      <c r="C146">
        <v>129</v>
      </c>
      <c r="D146">
        <v>28.912198704988739</v>
      </c>
      <c r="E146">
        <v>129</v>
      </c>
    </row>
    <row r="147" spans="2:5">
      <c r="B147">
        <v>37.985458628821945</v>
      </c>
      <c r="C147">
        <v>130</v>
      </c>
      <c r="D147">
        <v>29.567468515827837</v>
      </c>
      <c r="E147">
        <v>130</v>
      </c>
    </row>
    <row r="148" spans="2:5">
      <c r="B148">
        <v>37.985065633227308</v>
      </c>
      <c r="C148">
        <v>131</v>
      </c>
      <c r="D148">
        <v>30.258470942561758</v>
      </c>
      <c r="E148">
        <v>131</v>
      </c>
    </row>
    <row r="149" spans="2:5">
      <c r="B149">
        <v>37.984648517136932</v>
      </c>
      <c r="C149">
        <v>132</v>
      </c>
      <c r="D149">
        <v>30.991887611431988</v>
      </c>
      <c r="E149">
        <v>132</v>
      </c>
    </row>
    <row r="150" spans="2:5">
      <c r="B150">
        <v>37.984201952413969</v>
      </c>
      <c r="C150">
        <v>133</v>
      </c>
      <c r="D150">
        <v>31.777088709639443</v>
      </c>
      <c r="E150">
        <v>133</v>
      </c>
    </row>
    <row r="151" spans="2:5">
      <c r="B151">
        <v>37.983718012522907</v>
      </c>
      <c r="C151">
        <v>134</v>
      </c>
      <c r="D151">
        <v>32.628014637240327</v>
      </c>
      <c r="E151">
        <v>134</v>
      </c>
    </row>
    <row r="152" spans="2:5">
      <c r="B152">
        <v>37.98318386965606</v>
      </c>
      <c r="C152">
        <v>135</v>
      </c>
      <c r="D152">
        <v>33.567227142627225</v>
      </c>
      <c r="E152">
        <v>135</v>
      </c>
    </row>
    <row r="153" spans="2:5">
      <c r="B153">
        <v>37.982575883187003</v>
      </c>
      <c r="C153">
        <v>136</v>
      </c>
      <c r="D153">
        <v>34.636310311576672</v>
      </c>
      <c r="E153">
        <v>136</v>
      </c>
    </row>
    <row r="154" spans="2:5">
      <c r="B154">
        <v>37.981839296506763</v>
      </c>
      <c r="C154">
        <v>137</v>
      </c>
      <c r="D154">
        <v>35.931603318514348</v>
      </c>
      <c r="E154">
        <v>137</v>
      </c>
    </row>
    <row r="155" spans="2:5">
      <c r="B155">
        <v>37.980760135516725</v>
      </c>
      <c r="C155">
        <v>138</v>
      </c>
      <c r="D155">
        <v>37.829859365723379</v>
      </c>
      <c r="E155">
        <v>138</v>
      </c>
    </row>
    <row r="156" spans="2:5">
      <c r="B156">
        <v>37.916442762612775</v>
      </c>
      <c r="C156">
        <v>139</v>
      </c>
    </row>
  </sheetData>
  <mergeCells count="30">
    <mergeCell ref="AA5:AA6"/>
    <mergeCell ref="AJ5:AJ6"/>
    <mergeCell ref="AK5:AL5"/>
    <mergeCell ref="AM5:AM6"/>
    <mergeCell ref="AB5:AC5"/>
    <mergeCell ref="AE5:AF5"/>
    <mergeCell ref="AD5:AD6"/>
    <mergeCell ref="AG5:AG6"/>
    <mergeCell ref="AH5:AI5"/>
    <mergeCell ref="T5:T6"/>
    <mergeCell ref="U5:U6"/>
    <mergeCell ref="V5:W5"/>
    <mergeCell ref="X5:X6"/>
    <mergeCell ref="Y5:Z5"/>
    <mergeCell ref="O5:Q5"/>
    <mergeCell ref="A16:A17"/>
    <mergeCell ref="F1:N3"/>
    <mergeCell ref="AE2:AL4"/>
    <mergeCell ref="B2:C2"/>
    <mergeCell ref="D2:E2"/>
    <mergeCell ref="B16:C16"/>
    <mergeCell ref="D16:E16"/>
    <mergeCell ref="A5:C5"/>
    <mergeCell ref="K5:M5"/>
    <mergeCell ref="F6:G6"/>
    <mergeCell ref="H6:I6"/>
    <mergeCell ref="F5:I5"/>
    <mergeCell ref="E5:E6"/>
    <mergeCell ref="S2:AA2"/>
    <mergeCell ref="S5:S6"/>
  </mergeCells>
  <pageMargins left="0.7" right="0.7" top="0.75" bottom="0.75" header="0.3" footer="0.3"/>
  <pageSetup orientation="portrait" horizontalDpi="300" verticalDpi="300" r:id="rId1"/>
  <ignoredErrors>
    <ignoredError sqref="AE20:AE21 AE22 AE35 AE37 AE50 Z8" formula="1"/>
  </ignoredErrors>
  <drawing r:id="rId2"/>
  <legacyDrawing r:id="rId3"/>
  <controls>
    <control shapeId="1026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analitik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3^one</dc:creator>
  <cp:lastModifiedBy>fjr66</cp:lastModifiedBy>
  <dcterms:created xsi:type="dcterms:W3CDTF">2014-04-29T05:59:50Z</dcterms:created>
  <dcterms:modified xsi:type="dcterms:W3CDTF">2014-05-04T00:47:10Z</dcterms:modified>
</cp:coreProperties>
</file>
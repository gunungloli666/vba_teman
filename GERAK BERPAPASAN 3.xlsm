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18975" windowHeight="8130" activeTab="1"/>
  </bookViews>
  <sheets>
    <sheet name="Sheet1" sheetId="1" r:id="rId1"/>
    <sheet name="Sheet2" sheetId="2" r:id="rId2"/>
    <sheet name="Sheet3" sheetId="3" r:id="rId3"/>
  </sheets>
  <definedNames>
    <definedName name="SUDUT">Sheet2!$E$11</definedName>
    <definedName name="t">Sheet2!$F$20</definedName>
    <definedName name="tpp">Sheet2!$F$21</definedName>
    <definedName name="tt">Sheet2!$F$21</definedName>
    <definedName name="V0">Sheet2!$F$11</definedName>
    <definedName name="V0X">Sheet2!$H$11</definedName>
    <definedName name="V0Y">Sheet2!$G$11</definedName>
    <definedName name="X">Sheet2!$J$11</definedName>
    <definedName name="X0">Sheet2!$B$11</definedName>
    <definedName name="XO">Sheet2!$D$16</definedName>
    <definedName name="xpp">Sheet2!$F$22</definedName>
    <definedName name="xt">Sheet2!$F$22</definedName>
    <definedName name="Y">Sheet2!$I$11</definedName>
    <definedName name="Y0">Sheet2!$C$11</definedName>
    <definedName name="YJB">Sheet2!$F$16</definedName>
    <definedName name="YO">Sheet2!$E$16</definedName>
    <definedName name="YP">Sheet2!$I$11</definedName>
    <definedName name="ypp">Sheet2!$F$23</definedName>
    <definedName name="yt">Sheet2!$F$22</definedName>
  </definedNames>
  <calcPr calcId="124519" refMode="R1C1"/>
</workbook>
</file>

<file path=xl/calcChain.xml><?xml version="1.0" encoding="utf-8"?>
<calcChain xmlns="http://schemas.openxmlformats.org/spreadsheetml/2006/main">
  <c r="F16" i="2"/>
  <c r="E11" l="1"/>
  <c r="H11" s="1"/>
  <c r="J11" s="1"/>
  <c r="G11" l="1"/>
  <c r="I11" s="1"/>
</calcChain>
</file>

<file path=xl/sharedStrings.xml><?xml version="1.0" encoding="utf-8"?>
<sst xmlns="http://schemas.openxmlformats.org/spreadsheetml/2006/main" count="25" uniqueCount="24">
  <si>
    <t>GERAK PELURU</t>
  </si>
  <si>
    <t>SUDUT (derajat)</t>
  </si>
  <si>
    <t>SUDUT (rad)</t>
  </si>
  <si>
    <t>X0 (m)</t>
  </si>
  <si>
    <t>Y0 (m)</t>
  </si>
  <si>
    <t>V0 (m/s)</t>
  </si>
  <si>
    <t>V0Y (m/s)</t>
  </si>
  <si>
    <t>V0X (m/s)</t>
  </si>
  <si>
    <t>Berpapasan</t>
  </si>
  <si>
    <t xml:space="preserve"> GERAK JATUH BEBAS     </t>
  </si>
  <si>
    <t>X berpapasan (m)</t>
  </si>
  <si>
    <t>Y berpapasan (m)</t>
  </si>
  <si>
    <t>g</t>
  </si>
  <si>
    <t>Y (t)(m)</t>
  </si>
  <si>
    <t>X0(m)</t>
  </si>
  <si>
    <t>Y(t)(m)</t>
  </si>
  <si>
    <t>Waktu Maksimal(s)</t>
  </si>
  <si>
    <t>Detik-ke (s)</t>
  </si>
  <si>
    <t>Waktu Berpapasan (m)</t>
  </si>
  <si>
    <t>X (t)</t>
  </si>
  <si>
    <t>t</t>
  </si>
  <si>
    <t>y</t>
  </si>
  <si>
    <t>yp</t>
  </si>
  <si>
    <t>xp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</si>
</sst>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omic Sans MS"/>
      <family val="4"/>
    </font>
    <font>
      <b/>
      <sz val="16"/>
      <color theme="1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4" borderId="1" xfId="0" applyFont="1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1" fillId="4" borderId="1" xfId="0" applyFont="1" applyFill="1" applyBorder="1" applyAlignment="1">
      <alignment horizontal="center"/>
    </xf>
    <xf numFmtId="0" fontId="0" fillId="2" borderId="0" xfId="0" applyFill="1" applyBorder="1"/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3" borderId="1" xfId="0" applyFont="1" applyFill="1" applyBorder="1" applyAlignment="1"/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Sheet2!$J$11</c:f>
              <c:numCache>
                <c:formatCode>General</c:formatCode>
                <c:ptCount val="1"/>
                <c:pt idx="0">
                  <c:v>112.60343002684631</c:v>
                </c:pt>
              </c:numCache>
            </c:numRef>
          </c:xVal>
          <c:yVal>
            <c:numRef>
              <c:f>Sheet2!$I$11</c:f>
              <c:numCache>
                <c:formatCode>General</c:formatCode>
                <c:ptCount val="1"/>
                <c:pt idx="0">
                  <c:v>93.545963885777496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Sheet2!$D$16</c:f>
              <c:numCache>
                <c:formatCode>General</c:formatCode>
                <c:ptCount val="1"/>
                <c:pt idx="0">
                  <c:v>57.805833232188313</c:v>
                </c:pt>
              </c:numCache>
            </c:numRef>
          </c:xVal>
          <c:yVal>
            <c:numRef>
              <c:f>Sheet2!$F$16</c:f>
              <c:numCache>
                <c:formatCode>General</c:formatCode>
                <c:ptCount val="1"/>
                <c:pt idx="0">
                  <c:v>-1.25</c:v>
                </c:pt>
              </c:numCache>
            </c:numRef>
          </c:yVal>
          <c:smooth val="1"/>
        </c:ser>
        <c:axId val="47545728"/>
        <c:axId val="50456064"/>
      </c:scatterChart>
      <c:valAx>
        <c:axId val="47545728"/>
        <c:scaling>
          <c:orientation val="minMax"/>
          <c:max val="200"/>
          <c:min val="0"/>
        </c:scaling>
        <c:axPos val="b"/>
        <c:numFmt formatCode="General" sourceLinked="1"/>
        <c:tickLblPos val="nextTo"/>
        <c:crossAx val="50456064"/>
        <c:crosses val="autoZero"/>
        <c:crossBetween val="midCat"/>
      </c:valAx>
      <c:valAx>
        <c:axId val="50456064"/>
        <c:scaling>
          <c:orientation val="minMax"/>
          <c:max val="300"/>
          <c:min val="-300"/>
        </c:scaling>
        <c:axPos val="l"/>
        <c:numFmt formatCode="General" sourceLinked="1"/>
        <c:tickLblPos val="nextTo"/>
        <c:crossAx val="47545728"/>
        <c:crosses val="autoZero"/>
        <c:crossBetween val="midCat"/>
        <c:majorUnit val="20"/>
        <c:minorUnit val="20"/>
      </c:valAx>
      <c:spPr>
        <a:noFill/>
        <a:ln w="25400">
          <a:noFill/>
        </a:ln>
      </c:spPr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485775</xdr:colOff>
      <xdr:row>1</xdr:row>
      <xdr:rowOff>104775</xdr:rowOff>
    </xdr:from>
    <xdr:to>
      <xdr:col>4</xdr:col>
      <xdr:colOff>371475</xdr:colOff>
      <xdr:row>4</xdr:row>
      <xdr:rowOff>180975</xdr:rowOff>
    </xdr:to>
    <xdr:sp macro="[0]!Oval1_Click" textlink="">
      <xdr:nvSpPr>
        <xdr:cNvPr id="2" name="Oval 1"/>
        <xdr:cNvSpPr/>
      </xdr:nvSpPr>
      <xdr:spPr>
        <a:xfrm>
          <a:off x="1095375" y="295275"/>
          <a:ext cx="2114550" cy="6477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Algerian" pitchFamily="82" charset="0"/>
            </a:rPr>
            <a:t>INPUT DATA</a:t>
          </a:r>
        </a:p>
      </xdr:txBody>
    </xdr:sp>
    <xdr:clientData/>
  </xdr:twoCellAnchor>
  <xdr:twoCellAnchor>
    <xdr:from>
      <xdr:col>5</xdr:col>
      <xdr:colOff>523875</xdr:colOff>
      <xdr:row>0</xdr:row>
      <xdr:rowOff>123825</xdr:rowOff>
    </xdr:from>
    <xdr:to>
      <xdr:col>14</xdr:col>
      <xdr:colOff>381000</xdr:colOff>
      <xdr:row>4</xdr:row>
      <xdr:rowOff>9525</xdr:rowOff>
    </xdr:to>
    <xdr:sp macro="" textlink="">
      <xdr:nvSpPr>
        <xdr:cNvPr id="3" name="Curved Down Ribbon 2"/>
        <xdr:cNvSpPr/>
      </xdr:nvSpPr>
      <xdr:spPr>
        <a:xfrm>
          <a:off x="4133850" y="123825"/>
          <a:ext cx="5524500" cy="647700"/>
        </a:xfrm>
        <a:prstGeom prst="ellipseRibbon">
          <a:avLst/>
        </a:prstGeom>
        <a:ln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GERAK</a:t>
          </a:r>
          <a:r>
            <a:rPr lang="en-US" sz="1400" b="1" baseline="0">
              <a:solidFill>
                <a:schemeClr val="tx1"/>
              </a:solidFill>
            </a:rPr>
            <a:t> BERPAPASAN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7</xdr:row>
      <xdr:rowOff>104775</xdr:rowOff>
    </xdr:from>
    <xdr:to>
      <xdr:col>17</xdr:col>
      <xdr:colOff>266700</xdr:colOff>
      <xdr:row>22</xdr:row>
      <xdr:rowOff>180975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7:B34"/>
  <sheetViews>
    <sheetView workbookViewId="0">
      <selection activeCell="B5" sqref="B5"/>
    </sheetView>
  </sheetViews>
  <sheetFormatPr defaultRowHeight="15"/>
  <sheetData>
    <row r="27" spans="2:2">
      <c r="B27">
        <v>0.1</v>
      </c>
    </row>
    <row r="28" spans="2:2">
      <c r="B28">
        <v>0.2</v>
      </c>
    </row>
    <row r="29" spans="2:2">
      <c r="B29">
        <v>0.30000000000000004</v>
      </c>
    </row>
    <row r="30" spans="2:2">
      <c r="B30">
        <v>0.4</v>
      </c>
    </row>
    <row r="31" spans="2:2">
      <c r="B31">
        <v>0.5</v>
      </c>
    </row>
    <row r="32" spans="2:2">
      <c r="B32">
        <v>0.60000000000000009</v>
      </c>
    </row>
    <row r="33" spans="2:2">
      <c r="B33">
        <v>0.70000000000000007</v>
      </c>
    </row>
    <row r="34" spans="2:2">
      <c r="B34">
        <v>0.8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8:K107"/>
  <sheetViews>
    <sheetView tabSelected="1" workbookViewId="0">
      <selection activeCell="J15" sqref="J15"/>
    </sheetView>
  </sheetViews>
  <sheetFormatPr defaultRowHeight="15"/>
  <cols>
    <col min="1" max="3" width="9.140625" style="2"/>
    <col min="4" max="4" width="15.140625" style="2" bestFit="1" customWidth="1"/>
    <col min="5" max="5" width="11.5703125" style="2" bestFit="1" customWidth="1"/>
    <col min="6" max="11" width="9.140625" style="2"/>
    <col min="12" max="12" width="11.85546875" style="2" customWidth="1"/>
    <col min="13" max="16384" width="9.140625" style="2"/>
  </cols>
  <sheetData>
    <row r="8" spans="1:11" ht="21" customHeight="1">
      <c r="A8" s="24" t="s">
        <v>0</v>
      </c>
      <c r="B8" s="24"/>
      <c r="C8" s="24"/>
      <c r="D8" s="24"/>
      <c r="E8" s="24"/>
      <c r="F8" s="24"/>
      <c r="G8" s="24"/>
      <c r="H8" s="24"/>
      <c r="I8" s="24"/>
      <c r="J8" s="24"/>
      <c r="K8" s="7"/>
    </row>
    <row r="9" spans="1:11" ht="22.5" customHeight="1">
      <c r="A9" s="24"/>
      <c r="B9" s="24"/>
      <c r="C9" s="24"/>
      <c r="D9" s="24"/>
      <c r="E9" s="24"/>
      <c r="F9" s="24"/>
      <c r="G9" s="24"/>
      <c r="H9" s="24"/>
      <c r="I9" s="24"/>
      <c r="J9" s="24"/>
      <c r="K9" s="7"/>
    </row>
    <row r="10" spans="1:11" ht="15" customHeight="1">
      <c r="A10" s="5" t="s">
        <v>12</v>
      </c>
      <c r="B10" s="1" t="s">
        <v>3</v>
      </c>
      <c r="C10" s="1" t="s">
        <v>4</v>
      </c>
      <c r="D10" s="1" t="s">
        <v>1</v>
      </c>
      <c r="E10" s="1" t="s">
        <v>2</v>
      </c>
      <c r="F10" s="1" t="s">
        <v>5</v>
      </c>
      <c r="G10" s="1" t="s">
        <v>6</v>
      </c>
      <c r="H10" s="1" t="s">
        <v>7</v>
      </c>
      <c r="I10" s="1" t="s">
        <v>13</v>
      </c>
      <c r="J10" s="5" t="s">
        <v>19</v>
      </c>
      <c r="K10" s="8"/>
    </row>
    <row r="11" spans="1:11">
      <c r="A11" s="12">
        <v>10</v>
      </c>
      <c r="B11" s="3">
        <v>0</v>
      </c>
      <c r="C11" s="3">
        <v>0</v>
      </c>
      <c r="D11" s="3">
        <v>60</v>
      </c>
      <c r="E11" s="3">
        <f>D11*3.14/180</f>
        <v>1.0466666666666666</v>
      </c>
      <c r="F11" s="3">
        <v>50</v>
      </c>
      <c r="G11" s="3">
        <f>V0*SIN(SUDUT)</f>
        <v>43.287991974617221</v>
      </c>
      <c r="H11" s="3">
        <f>V0*COS(SUDUT)</f>
        <v>25.022984450410291</v>
      </c>
      <c r="I11" s="3">
        <f>Y0+V0Y*t-0.5*A11*t^2</f>
        <v>93.545963885777496</v>
      </c>
      <c r="J11" s="4">
        <f>V0X*t</f>
        <v>112.60343002684631</v>
      </c>
      <c r="K11" s="6"/>
    </row>
    <row r="12" spans="1:11">
      <c r="K12" s="6"/>
    </row>
    <row r="13" spans="1:11" ht="15" customHeight="1">
      <c r="D13" s="23" t="s">
        <v>9</v>
      </c>
      <c r="E13" s="23"/>
      <c r="F13" s="23"/>
    </row>
    <row r="14" spans="1:11" ht="15" customHeight="1">
      <c r="D14" s="23"/>
      <c r="E14" s="23"/>
      <c r="F14" s="23"/>
    </row>
    <row r="15" spans="1:11" ht="15" customHeight="1">
      <c r="D15" s="5" t="s">
        <v>14</v>
      </c>
      <c r="E15" s="5" t="s">
        <v>4</v>
      </c>
      <c r="F15" s="5" t="s">
        <v>15</v>
      </c>
      <c r="J15" s="2">
        <v>3.1999999999999886</v>
      </c>
    </row>
    <row r="16" spans="1:11">
      <c r="D16" s="3">
        <v>57.805833232188313</v>
      </c>
      <c r="E16" s="3">
        <v>100</v>
      </c>
      <c r="F16" s="11">
        <f>YO-(0.5*A11*t^2)</f>
        <v>-1.25</v>
      </c>
    </row>
    <row r="18" spans="2:6" ht="15" customHeight="1">
      <c r="D18" s="17" t="s">
        <v>8</v>
      </c>
      <c r="E18" s="18"/>
      <c r="F18" s="19"/>
    </row>
    <row r="19" spans="2:6" ht="15" customHeight="1">
      <c r="D19" s="20"/>
      <c r="E19" s="21"/>
      <c r="F19" s="22"/>
    </row>
    <row r="20" spans="2:6" ht="15" customHeight="1">
      <c r="D20" s="15" t="s">
        <v>16</v>
      </c>
      <c r="E20" s="16"/>
      <c r="F20" s="3">
        <v>4.5</v>
      </c>
    </row>
    <row r="21" spans="2:6">
      <c r="D21" s="15" t="s">
        <v>17</v>
      </c>
      <c r="E21" s="16"/>
      <c r="F21" s="4"/>
    </row>
    <row r="22" spans="2:6">
      <c r="D22" s="15" t="s">
        <v>18</v>
      </c>
      <c r="E22" s="16"/>
      <c r="F22" s="4">
        <v>2.310109465429512</v>
      </c>
    </row>
    <row r="23" spans="2:6">
      <c r="D23" s="15" t="s">
        <v>10</v>
      </c>
      <c r="E23" s="16"/>
      <c r="F23" s="4">
        <v>57.805833232188313</v>
      </c>
    </row>
    <row r="24" spans="2:6">
      <c r="D24" s="14" t="s">
        <v>11</v>
      </c>
      <c r="E24" s="14"/>
      <c r="F24" s="10">
        <v>73.316971288664874</v>
      </c>
    </row>
    <row r="25" spans="2:6">
      <c r="C25" s="9"/>
      <c r="D25" s="9"/>
      <c r="E25" s="9"/>
    </row>
    <row r="26" spans="2:6">
      <c r="B26" s="12" t="s">
        <v>20</v>
      </c>
      <c r="C26" s="12" t="s">
        <v>22</v>
      </c>
      <c r="D26" s="12" t="s">
        <v>23</v>
      </c>
      <c r="E26" s="13" t="s">
        <v>21</v>
      </c>
    </row>
    <row r="27" spans="2:6">
      <c r="B27" s="3">
        <v>0</v>
      </c>
      <c r="C27" s="3">
        <v>0</v>
      </c>
      <c r="D27" s="3">
        <v>0</v>
      </c>
      <c r="E27" s="3"/>
    </row>
    <row r="28" spans="2:6">
      <c r="B28" s="3">
        <v>0.1</v>
      </c>
      <c r="C28" s="3">
        <v>4.2787991974617228</v>
      </c>
      <c r="D28" s="3">
        <v>2.5022984450410295</v>
      </c>
      <c r="E28" s="3"/>
    </row>
    <row r="29" spans="2:6">
      <c r="B29" s="3">
        <v>0.2</v>
      </c>
      <c r="C29" s="3">
        <v>8.4575983949234459</v>
      </c>
      <c r="D29" s="3">
        <v>5.004596890082059</v>
      </c>
      <c r="E29" s="3"/>
    </row>
    <row r="30" spans="2:6">
      <c r="B30" s="3">
        <v>0.30000000000000004</v>
      </c>
      <c r="C30" s="3">
        <v>12.536397592385168</v>
      </c>
      <c r="D30" s="3">
        <v>7.5068953351230876</v>
      </c>
      <c r="E30" s="3"/>
    </row>
    <row r="31" spans="2:6">
      <c r="B31" s="3">
        <v>0.4</v>
      </c>
      <c r="C31" s="3">
        <v>16.51519678984689</v>
      </c>
      <c r="D31" s="3">
        <v>10.009193780164118</v>
      </c>
      <c r="E31" s="3"/>
    </row>
    <row r="32" spans="2:6">
      <c r="B32" s="3">
        <v>0.5</v>
      </c>
      <c r="C32" s="3">
        <v>20.393995987308614</v>
      </c>
      <c r="D32" s="3">
        <v>12.511492225205146</v>
      </c>
      <c r="E32" s="3"/>
    </row>
    <row r="33" spans="2:5">
      <c r="B33" s="3">
        <v>0.60000000000000009</v>
      </c>
      <c r="C33" s="3">
        <v>24.172795184770333</v>
      </c>
      <c r="D33" s="3">
        <v>15.013790670246175</v>
      </c>
      <c r="E33" s="3"/>
    </row>
    <row r="34" spans="2:5">
      <c r="B34" s="3">
        <v>0.70000000000000007</v>
      </c>
      <c r="C34" s="3">
        <v>27.851594382232054</v>
      </c>
      <c r="D34" s="3">
        <v>17.516089115287205</v>
      </c>
      <c r="E34" s="3"/>
    </row>
    <row r="35" spans="2:5">
      <c r="B35" s="3">
        <v>0.8</v>
      </c>
      <c r="C35" s="3">
        <v>31.430393579693781</v>
      </c>
      <c r="D35" s="3">
        <v>20.018387560328236</v>
      </c>
      <c r="E35" s="3"/>
    </row>
    <row r="36" spans="2:5">
      <c r="B36" s="3">
        <v>0.9</v>
      </c>
      <c r="C36" s="3">
        <v>34.909192777155504</v>
      </c>
      <c r="D36" s="3">
        <v>22.520686005369264</v>
      </c>
      <c r="E36" s="3"/>
    </row>
    <row r="37" spans="2:5">
      <c r="B37" s="3">
        <v>1</v>
      </c>
      <c r="C37" s="3">
        <v>38.287991974617228</v>
      </c>
      <c r="D37" s="3">
        <v>25.022984450410291</v>
      </c>
      <c r="E37" s="3"/>
    </row>
    <row r="38" spans="2:5">
      <c r="B38" s="3">
        <v>1.1000000000000001</v>
      </c>
      <c r="C38" s="3">
        <v>41.56679117207895</v>
      </c>
      <c r="D38" s="3">
        <v>27.525282895451326</v>
      </c>
      <c r="E38" s="3"/>
    </row>
    <row r="39" spans="2:5">
      <c r="B39" s="3">
        <v>1.2000000000000002</v>
      </c>
      <c r="C39" s="3">
        <v>44.745590369540665</v>
      </c>
      <c r="D39" s="3">
        <v>30.02758134049235</v>
      </c>
      <c r="E39" s="3"/>
    </row>
    <row r="40" spans="2:5">
      <c r="B40" s="3">
        <v>1.3</v>
      </c>
      <c r="C40" s="3">
        <v>47.824389567002392</v>
      </c>
      <c r="D40" s="3">
        <v>32.529879785533375</v>
      </c>
      <c r="E40" s="3"/>
    </row>
    <row r="41" spans="2:5">
      <c r="B41" s="3">
        <v>1.4000000000000001</v>
      </c>
      <c r="C41" s="3">
        <v>50.80318876446411</v>
      </c>
      <c r="D41" s="3">
        <v>35.032178230574409</v>
      </c>
      <c r="E41" s="3"/>
    </row>
    <row r="42" spans="2:5">
      <c r="B42" s="3">
        <v>1.5</v>
      </c>
      <c r="C42" s="3">
        <v>53.681987961925842</v>
      </c>
      <c r="D42" s="3">
        <v>37.534476675615444</v>
      </c>
      <c r="E42" s="3"/>
    </row>
    <row r="43" spans="2:5">
      <c r="B43" s="3">
        <v>1.6</v>
      </c>
      <c r="C43" s="3">
        <v>56.460787159387564</v>
      </c>
      <c r="D43" s="3">
        <v>40.036775120656472</v>
      </c>
      <c r="E43" s="3"/>
    </row>
    <row r="44" spans="2:5">
      <c r="B44" s="3">
        <v>1.7000000000000002</v>
      </c>
      <c r="C44" s="3">
        <v>59.139586356849264</v>
      </c>
      <c r="D44" s="3">
        <v>42.539073565697493</v>
      </c>
      <c r="E44" s="3"/>
    </row>
    <row r="45" spans="2:5">
      <c r="B45" s="3">
        <v>1.8</v>
      </c>
      <c r="C45" s="3">
        <v>61.718385554310998</v>
      </c>
      <c r="D45" s="3">
        <v>45.041372010738527</v>
      </c>
      <c r="E45" s="3"/>
    </row>
    <row r="46" spans="2:5">
      <c r="B46" s="3">
        <v>1.9000000000000001</v>
      </c>
      <c r="C46" s="3">
        <v>64.197184751772724</v>
      </c>
      <c r="D46" s="3">
        <v>47.543670455779562</v>
      </c>
      <c r="E46" s="3"/>
    </row>
    <row r="47" spans="2:5">
      <c r="B47" s="3">
        <v>2</v>
      </c>
      <c r="C47" s="3">
        <v>66.575983949234455</v>
      </c>
      <c r="D47" s="3">
        <v>50.045968900820583</v>
      </c>
      <c r="E47" s="3"/>
    </row>
    <row r="48" spans="2:5">
      <c r="B48" s="3">
        <v>2.1</v>
      </c>
      <c r="C48" s="3">
        <v>68.854783146696164</v>
      </c>
      <c r="D48" s="3">
        <v>52.548267345861611</v>
      </c>
      <c r="E48" s="3"/>
    </row>
    <row r="49" spans="2:5">
      <c r="B49" s="3">
        <v>2.2000000000000002</v>
      </c>
      <c r="C49" s="3">
        <v>71.033582344157892</v>
      </c>
      <c r="D49" s="3">
        <v>55.050565790902652</v>
      </c>
      <c r="E49" s="3"/>
    </row>
    <row r="50" spans="2:5">
      <c r="B50" s="3">
        <v>2.3000000000000003</v>
      </c>
      <c r="C50" s="3">
        <v>73.112381541619612</v>
      </c>
      <c r="D50" s="3">
        <v>57.552864235943673</v>
      </c>
      <c r="E50" s="3"/>
    </row>
    <row r="51" spans="2:5">
      <c r="B51" s="3">
        <v>2.4000000000000004</v>
      </c>
      <c r="C51" s="3">
        <v>75.091180739081338</v>
      </c>
      <c r="D51" s="3">
        <v>60.055162680984701</v>
      </c>
      <c r="E51" s="3"/>
    </row>
    <row r="52" spans="2:5">
      <c r="B52" s="3">
        <v>2.5</v>
      </c>
      <c r="C52" s="3">
        <v>76.969979936543041</v>
      </c>
      <c r="D52" s="3">
        <v>62.557461126025729</v>
      </c>
      <c r="E52" s="3"/>
    </row>
    <row r="53" spans="2:5">
      <c r="B53" s="3">
        <v>2.6</v>
      </c>
      <c r="C53" s="3">
        <v>78.748779134004792</v>
      </c>
      <c r="D53" s="3">
        <v>65.059759571066749</v>
      </c>
      <c r="E53" s="3"/>
    </row>
    <row r="54" spans="2:5">
      <c r="B54" s="3">
        <v>2.7</v>
      </c>
      <c r="C54" s="3">
        <v>80.427578331466506</v>
      </c>
      <c r="D54" s="3">
        <v>67.562058016107798</v>
      </c>
      <c r="E54" s="3"/>
    </row>
    <row r="55" spans="2:5">
      <c r="B55" s="3">
        <v>2.8000000000000003</v>
      </c>
      <c r="C55" s="3">
        <v>82.006377528928212</v>
      </c>
      <c r="D55" s="3">
        <v>70.064356461148819</v>
      </c>
      <c r="E55" s="3"/>
    </row>
    <row r="56" spans="2:5">
      <c r="B56" s="3">
        <v>2.9000000000000004</v>
      </c>
      <c r="C56" s="3">
        <v>83.485176726389938</v>
      </c>
      <c r="D56" s="3">
        <v>72.566654906189839</v>
      </c>
      <c r="E56" s="3"/>
    </row>
    <row r="57" spans="2:5">
      <c r="B57" s="3">
        <v>3</v>
      </c>
      <c r="C57" s="3">
        <v>84.863975923851683</v>
      </c>
      <c r="D57" s="3">
        <v>75.068953351230888</v>
      </c>
      <c r="E57" s="3"/>
    </row>
    <row r="58" spans="2:5">
      <c r="B58" s="3">
        <v>3.1</v>
      </c>
      <c r="C58" s="3">
        <v>86.142775121313377</v>
      </c>
      <c r="D58" s="3">
        <v>77.571251796271909</v>
      </c>
      <c r="E58" s="3"/>
    </row>
    <row r="59" spans="2:5">
      <c r="B59" s="3">
        <v>3.2</v>
      </c>
      <c r="C59" s="3">
        <v>87.32157431877512</v>
      </c>
      <c r="D59" s="3">
        <v>80.073550241312944</v>
      </c>
      <c r="E59" s="3"/>
    </row>
    <row r="60" spans="2:5">
      <c r="B60" s="3">
        <v>3.3000000000000003</v>
      </c>
      <c r="C60" s="3">
        <v>88.400373516236826</v>
      </c>
      <c r="D60" s="3">
        <v>82.575848686353964</v>
      </c>
      <c r="E60" s="3"/>
    </row>
    <row r="61" spans="2:5">
      <c r="B61" s="3">
        <v>3.4000000000000004</v>
      </c>
      <c r="C61" s="3">
        <v>89.379172713698523</v>
      </c>
      <c r="D61" s="3">
        <v>85.078147131394985</v>
      </c>
      <c r="E61" s="3"/>
    </row>
    <row r="62" spans="2:5">
      <c r="B62" s="3">
        <v>3.5</v>
      </c>
      <c r="C62" s="3">
        <v>90.257971911160297</v>
      </c>
      <c r="D62" s="3">
        <v>87.580445576436034</v>
      </c>
      <c r="E62" s="3"/>
    </row>
    <row r="63" spans="2:5">
      <c r="B63" s="3">
        <v>3.6</v>
      </c>
      <c r="C63" s="3">
        <v>91.036771108622005</v>
      </c>
      <c r="D63" s="3">
        <v>90.082744021477055</v>
      </c>
      <c r="E63" s="3"/>
    </row>
    <row r="64" spans="2:5">
      <c r="B64" s="3">
        <v>3.7</v>
      </c>
      <c r="C64" s="3">
        <v>91.715570306083734</v>
      </c>
      <c r="D64" s="3">
        <v>92.585042466518075</v>
      </c>
      <c r="E64" s="3"/>
    </row>
    <row r="65" spans="2:5">
      <c r="B65" s="3">
        <v>3.8000000000000003</v>
      </c>
      <c r="C65" s="3">
        <v>92.29436950354544</v>
      </c>
      <c r="D65" s="3">
        <v>95.087340911559124</v>
      </c>
      <c r="E65" s="3"/>
    </row>
    <row r="66" spans="2:5">
      <c r="B66" s="3">
        <v>3.9000000000000004</v>
      </c>
      <c r="C66" s="3">
        <v>92.773168701007179</v>
      </c>
      <c r="D66" s="3">
        <v>97.589639356600145</v>
      </c>
      <c r="E66" s="3"/>
    </row>
    <row r="67" spans="2:5">
      <c r="B67" s="3">
        <v>4</v>
      </c>
      <c r="C67" s="3">
        <v>93.151967898468911</v>
      </c>
      <c r="D67" s="3">
        <v>100.09193780164117</v>
      </c>
      <c r="E67" s="3"/>
    </row>
    <row r="68" spans="2:5">
      <c r="B68" s="3">
        <v>4.1000000000000005</v>
      </c>
      <c r="C68" s="3">
        <v>93.430767095930605</v>
      </c>
      <c r="D68" s="3">
        <v>102.59423624668221</v>
      </c>
      <c r="E68" s="3"/>
    </row>
    <row r="69" spans="2:5">
      <c r="B69" s="3">
        <v>4.2</v>
      </c>
      <c r="C69" s="3">
        <v>93.609566293392319</v>
      </c>
      <c r="D69" s="3">
        <v>105.09653469172322</v>
      </c>
      <c r="E69" s="3"/>
    </row>
    <row r="70" spans="2:5">
      <c r="B70" s="3">
        <v>4.3</v>
      </c>
      <c r="C70" s="3">
        <v>93.688365490854054</v>
      </c>
      <c r="D70" s="3">
        <v>107.59883313676426</v>
      </c>
      <c r="E70" s="3"/>
    </row>
    <row r="71" spans="2:5">
      <c r="B71" s="3">
        <v>4.4000000000000004</v>
      </c>
      <c r="C71" s="3">
        <v>93.667164688315779</v>
      </c>
      <c r="D71" s="3">
        <v>110.1011315818053</v>
      </c>
      <c r="E71" s="3"/>
    </row>
    <row r="72" spans="2:5">
      <c r="B72" s="3">
        <v>4.5</v>
      </c>
      <c r="C72" s="3">
        <v>93.545963885777496</v>
      </c>
      <c r="D72" s="3">
        <v>112.60343002684631</v>
      </c>
      <c r="E72" s="3"/>
    </row>
    <row r="73" spans="2:5">
      <c r="B73" s="3">
        <v>4.6000000000000005</v>
      </c>
      <c r="C73" s="3">
        <v>26.4295725721758</v>
      </c>
      <c r="D73" s="3">
        <v>119.84492398204193</v>
      </c>
      <c r="E73" s="3"/>
    </row>
    <row r="74" spans="2:5">
      <c r="B74" s="3">
        <v>4.7</v>
      </c>
      <c r="C74" s="3">
        <v>25.359128497657892</v>
      </c>
      <c r="D74" s="3">
        <v>122.45024841643415</v>
      </c>
      <c r="E74" s="3"/>
    </row>
    <row r="75" spans="2:5">
      <c r="B75" s="3">
        <v>4.8000000000000007</v>
      </c>
      <c r="C75" s="3">
        <v>24.218684423139962</v>
      </c>
      <c r="D75" s="3">
        <v>125.05557285082637</v>
      </c>
      <c r="E75" s="3"/>
    </row>
    <row r="76" spans="2:5">
      <c r="B76" s="3">
        <v>4.9000000000000004</v>
      </c>
      <c r="C76" s="3">
        <v>23.008240348622039</v>
      </c>
      <c r="D76" s="3">
        <v>127.6608972852186</v>
      </c>
      <c r="E76" s="3"/>
    </row>
    <row r="77" spans="2:5">
      <c r="B77" s="3">
        <v>5</v>
      </c>
      <c r="C77" s="3">
        <v>21.727796274104151</v>
      </c>
      <c r="D77" s="3">
        <v>130.2662217196108</v>
      </c>
      <c r="E77" s="3"/>
    </row>
    <row r="78" spans="2:5">
      <c r="B78" s="3">
        <v>5.1000000000000005</v>
      </c>
      <c r="C78" s="3">
        <v>20.377352199586213</v>
      </c>
      <c r="D78" s="3">
        <v>132.87154615400303</v>
      </c>
      <c r="E78" s="3"/>
    </row>
    <row r="79" spans="2:5">
      <c r="B79" s="3">
        <v>5.2</v>
      </c>
      <c r="C79" s="3">
        <v>18.956908125068296</v>
      </c>
      <c r="D79" s="3">
        <v>135.47687058839526</v>
      </c>
      <c r="E79" s="3"/>
    </row>
    <row r="80" spans="2:5">
      <c r="B80" s="3">
        <v>5.3000000000000007</v>
      </c>
      <c r="C80" s="3">
        <v>17.466464050550371</v>
      </c>
      <c r="D80" s="3">
        <v>138.08219502278743</v>
      </c>
      <c r="E80" s="3"/>
    </row>
    <row r="81" spans="2:5">
      <c r="B81" s="3">
        <v>5.4</v>
      </c>
      <c r="C81" s="3">
        <v>15.906019976032482</v>
      </c>
      <c r="D81" s="3">
        <v>140.68751945717966</v>
      </c>
      <c r="E81" s="3"/>
    </row>
    <row r="82" spans="2:5">
      <c r="B82" s="3">
        <v>5.5</v>
      </c>
      <c r="C82" s="3">
        <v>14.275575901514557</v>
      </c>
      <c r="D82" s="3">
        <v>143.29284389157189</v>
      </c>
      <c r="E82" s="3"/>
    </row>
    <row r="83" spans="2:5">
      <c r="B83" s="3">
        <v>5.6000000000000005</v>
      </c>
      <c r="C83" s="3">
        <v>12.575131826996611</v>
      </c>
      <c r="D83" s="3">
        <v>145.89816832596409</v>
      </c>
      <c r="E83" s="3"/>
    </row>
    <row r="84" spans="2:5">
      <c r="B84" s="3">
        <v>5.7</v>
      </c>
      <c r="C84" s="3">
        <v>10.804687752478699</v>
      </c>
      <c r="D84" s="3">
        <v>148.50349276035632</v>
      </c>
      <c r="E84" s="3"/>
    </row>
    <row r="85" spans="2:5">
      <c r="B85" s="3">
        <v>5.8000000000000007</v>
      </c>
      <c r="C85" s="3">
        <v>8.9642436779607806</v>
      </c>
      <c r="D85" s="3">
        <v>151.10881719474853</v>
      </c>
      <c r="E85" s="3"/>
    </row>
    <row r="86" spans="2:5">
      <c r="B86" s="3">
        <v>5.9</v>
      </c>
      <c r="C86" s="3">
        <v>7.0537996034428687</v>
      </c>
      <c r="D86" s="3">
        <v>153.71414162914076</v>
      </c>
      <c r="E86" s="3"/>
    </row>
    <row r="87" spans="2:5">
      <c r="B87" s="3">
        <v>6</v>
      </c>
      <c r="C87" s="3">
        <v>5.0733555289249637</v>
      </c>
      <c r="D87" s="3">
        <v>156.31946606353296</v>
      </c>
      <c r="E87" s="3"/>
    </row>
    <row r="88" spans="2:5">
      <c r="B88" s="3">
        <v>6.1000000000000005</v>
      </c>
      <c r="C88" s="3">
        <v>3.0229114544070512</v>
      </c>
      <c r="D88" s="3">
        <v>158.92479049792519</v>
      </c>
      <c r="E88" s="3"/>
    </row>
    <row r="89" spans="2:5">
      <c r="B89" s="3">
        <v>6.2</v>
      </c>
      <c r="C89" s="3">
        <v>0.90246737988911718</v>
      </c>
      <c r="D89" s="3">
        <v>161.53011493231739</v>
      </c>
      <c r="E89" s="3"/>
    </row>
    <row r="90" spans="2:5">
      <c r="B90" s="3">
        <v>6.3000000000000007</v>
      </c>
      <c r="C90" s="3">
        <v>-1.2879766946287816</v>
      </c>
      <c r="D90" s="3">
        <v>164.13543936670962</v>
      </c>
      <c r="E90" s="3"/>
    </row>
    <row r="91" spans="2:5">
      <c r="B91" s="3">
        <v>6.4</v>
      </c>
      <c r="C91" s="3">
        <v>23.269375237902409</v>
      </c>
      <c r="D91" s="3">
        <v>139.94431502503525</v>
      </c>
      <c r="E91" s="3"/>
    </row>
    <row r="92" spans="2:5">
      <c r="B92" s="3">
        <v>6.5</v>
      </c>
      <c r="C92" s="3">
        <v>21.357959225994648</v>
      </c>
      <c r="D92" s="3">
        <v>142.13094494730146</v>
      </c>
      <c r="E92" s="3"/>
    </row>
    <row r="93" spans="2:5">
      <c r="B93" s="3">
        <v>6.6000000000000005</v>
      </c>
      <c r="C93" s="3">
        <v>19.376543214086865</v>
      </c>
      <c r="D93" s="3">
        <v>144.31757486956761</v>
      </c>
      <c r="E93" s="3"/>
    </row>
    <row r="94" spans="2:5">
      <c r="B94" s="3">
        <v>6.7</v>
      </c>
      <c r="C94" s="3">
        <v>17.325127202179118</v>
      </c>
      <c r="D94" s="3">
        <v>146.50420479183379</v>
      </c>
      <c r="E94" s="3"/>
    </row>
    <row r="95" spans="2:5">
      <c r="B95" s="3">
        <v>6.8000000000000007</v>
      </c>
      <c r="C95" s="3">
        <v>15.203711190271292</v>
      </c>
      <c r="D95" s="3">
        <v>148.69083471409996</v>
      </c>
      <c r="E95" s="3"/>
    </row>
    <row r="96" spans="2:5">
      <c r="B96" s="3">
        <v>6.9</v>
      </c>
      <c r="C96" s="3">
        <v>13.01229517836353</v>
      </c>
      <c r="D96" s="3">
        <v>150.87746463636614</v>
      </c>
      <c r="E96" s="3"/>
    </row>
    <row r="97" spans="2:5">
      <c r="B97" s="3">
        <v>7</v>
      </c>
      <c r="C97" s="3">
        <v>10.750879166455775</v>
      </c>
      <c r="D97" s="3">
        <v>153.06409455863232</v>
      </c>
      <c r="E97" s="3"/>
    </row>
    <row r="98" spans="2:5">
      <c r="B98" s="3">
        <v>7.1000000000000005</v>
      </c>
      <c r="C98" s="3">
        <v>8.4194631545479979</v>
      </c>
      <c r="D98" s="3">
        <v>155.2507244808985</v>
      </c>
      <c r="E98" s="3"/>
    </row>
    <row r="99" spans="2:5">
      <c r="B99" s="3">
        <v>7.2</v>
      </c>
      <c r="C99" s="3">
        <v>6.0180471426401994</v>
      </c>
      <c r="D99" s="3">
        <v>157.43735440316468</v>
      </c>
      <c r="E99" s="3"/>
    </row>
    <row r="100" spans="2:5">
      <c r="B100" s="3">
        <v>7.3000000000000007</v>
      </c>
      <c r="C100" s="3">
        <v>3.5466311307324361</v>
      </c>
      <c r="D100" s="3">
        <v>159.62398432543085</v>
      </c>
      <c r="E100" s="3"/>
    </row>
    <row r="101" spans="2:5">
      <c r="B101" s="3">
        <v>7.4</v>
      </c>
      <c r="C101" s="3">
        <v>1.0052151188246512</v>
      </c>
      <c r="D101" s="3">
        <v>161.81061424769703</v>
      </c>
      <c r="E101" s="3"/>
    </row>
    <row r="102" spans="2:5">
      <c r="B102" s="3">
        <v>7.5</v>
      </c>
      <c r="C102" s="3">
        <v>-1.60620089308307</v>
      </c>
      <c r="D102" s="3">
        <v>163.99724416996321</v>
      </c>
      <c r="E102" s="3"/>
    </row>
    <row r="103" spans="2:5">
      <c r="B103" s="3">
        <v>7.6000000000000005</v>
      </c>
      <c r="C103" s="3">
        <v>-4.2876169049908981</v>
      </c>
      <c r="D103" s="3">
        <v>166.18387409222939</v>
      </c>
      <c r="E103" s="3"/>
    </row>
    <row r="104" spans="2:5">
      <c r="B104" s="3">
        <v>7.7</v>
      </c>
      <c r="C104" s="3">
        <v>-7.0390329168986625</v>
      </c>
      <c r="D104" s="3">
        <v>168.37050401449557</v>
      </c>
      <c r="E104" s="3"/>
    </row>
    <row r="105" spans="2:5">
      <c r="B105" s="3">
        <v>7.8000000000000007</v>
      </c>
      <c r="C105" s="3">
        <v>-9.8604489288064485</v>
      </c>
      <c r="D105" s="3">
        <v>170.55713393676172</v>
      </c>
      <c r="E105" s="3"/>
    </row>
    <row r="106" spans="2:5">
      <c r="B106" s="3">
        <v>7.9</v>
      </c>
      <c r="C106" s="3">
        <v>-12.751864940714171</v>
      </c>
      <c r="D106" s="3">
        <v>172.74376385902792</v>
      </c>
      <c r="E106" s="3"/>
    </row>
    <row r="107" spans="2:5">
      <c r="B107" s="3">
        <v>8</v>
      </c>
      <c r="C107" s="3">
        <v>55.792242062647574</v>
      </c>
      <c r="D107" s="3">
        <v>137.04083626980869</v>
      </c>
      <c r="E107" s="3"/>
    </row>
  </sheetData>
  <mergeCells count="8">
    <mergeCell ref="D24:E24"/>
    <mergeCell ref="D23:E23"/>
    <mergeCell ref="D18:F19"/>
    <mergeCell ref="D13:F14"/>
    <mergeCell ref="A8:J9"/>
    <mergeCell ref="D20:E20"/>
    <mergeCell ref="D21:E21"/>
    <mergeCell ref="D22:E22"/>
  </mergeCell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13" sqref="E13:G1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Sheet1</vt:lpstr>
      <vt:lpstr>Sheet2</vt:lpstr>
      <vt:lpstr>Sheet3</vt:lpstr>
      <vt:lpstr>SUDUT</vt:lpstr>
      <vt:lpstr>t</vt:lpstr>
      <vt:lpstr>tpp</vt:lpstr>
      <vt:lpstr>tt</vt:lpstr>
      <vt:lpstr>V0</vt:lpstr>
      <vt:lpstr>V0X</vt:lpstr>
      <vt:lpstr>V0Y</vt:lpstr>
      <vt:lpstr>X</vt:lpstr>
      <vt:lpstr>X0</vt:lpstr>
      <vt:lpstr>XO</vt:lpstr>
      <vt:lpstr>xpp</vt:lpstr>
      <vt:lpstr>xt</vt:lpstr>
      <vt:lpstr>Y</vt:lpstr>
      <vt:lpstr>Y0</vt:lpstr>
      <vt:lpstr>YJB</vt:lpstr>
      <vt:lpstr>YO</vt:lpstr>
      <vt:lpstr>YP</vt:lpstr>
      <vt:lpstr>ypp</vt:lpstr>
      <vt:lpstr>yt</vt:lpstr>
    </vt:vector>
  </TitlesOfParts>
  <Company>FUJIYAMA COMPUTER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COMPAQ</dc:creator>
  <cp:lastModifiedBy>fjr66</cp:lastModifiedBy>
  <dcterms:created xsi:type="dcterms:W3CDTF">2014-05-01T10:26:54Z</dcterms:created>
  <dcterms:modified xsi:type="dcterms:W3CDTF">2014-05-03T20:35:20Z</dcterms:modified>
</cp:coreProperties>
</file>
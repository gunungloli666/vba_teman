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Sheet1" sheetId="1" r:id="rId1"/>
    <sheet name="Sheet2" sheetId="2" r:id="rId2"/>
    <sheet name="Sheet3" sheetId="3" r:id="rId3"/>
  </sheets>
  <calcPr calcId="124519" refMode="R1C1"/>
</workbook>
</file>

<file path=xl/calcChain.xml><?xml version="1.0" encoding="utf-8"?>
<calcChain xmlns="http://schemas.openxmlformats.org/spreadsheetml/2006/main">
  <c r="K43" i="1"/>
  <c r="D6" i="2"/>
  <c r="D7" s="1"/>
  <c r="D8" s="1"/>
  <c r="D9" s="1"/>
  <c r="D10" s="1"/>
  <c r="D11" s="1"/>
  <c r="D12" s="1"/>
  <c r="D13" s="1"/>
  <c r="D14" s="1"/>
  <c r="C6"/>
  <c r="C7" s="1"/>
  <c r="C8" s="1"/>
  <c r="C9" s="1"/>
  <c r="C10" s="1"/>
  <c r="C11" s="1"/>
  <c r="C12" s="1"/>
  <c r="C13" s="1"/>
  <c r="C14" s="1"/>
</calcChain>
</file>

<file path=xl/sharedStrings.xml><?xml version="1.0" encoding="utf-8"?>
<sst xmlns="http://schemas.openxmlformats.org/spreadsheetml/2006/main" count="15" uniqueCount="15">
  <si>
    <t>T awal</t>
  </si>
  <si>
    <t>T akhir</t>
  </si>
  <si>
    <t>Iterasi</t>
  </si>
  <si>
    <t>ds/dt (i)</t>
  </si>
  <si>
    <t>a (percepatan)</t>
  </si>
  <si>
    <t>s0</t>
  </si>
  <si>
    <t>t0</t>
  </si>
  <si>
    <t>Delta T * ds/dt</t>
  </si>
  <si>
    <t>iterasi</t>
  </si>
  <si>
    <t>time step</t>
  </si>
  <si>
    <t>perpindahan analitik</t>
  </si>
  <si>
    <t>perpindahan dengan metode Euler</t>
  </si>
  <si>
    <t>error</t>
  </si>
  <si>
    <t>reset Lokasi</t>
  </si>
  <si>
    <t>ini jangan dirubah ==&gt;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</si>
</sst>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</c:numCache>
            </c:numRef>
          </c:xVal>
          <c:yVal>
            <c:numRef>
              <c:f>Sheet1!$H$4:$H$13</c:f>
              <c:numCache>
                <c:formatCode>General</c:formatCode>
                <c:ptCount val="10"/>
                <c:pt idx="0">
                  <c:v>0</c:v>
                </c:pt>
                <c:pt idx="1">
                  <c:v>0.125</c:v>
                </c:pt>
                <c:pt idx="2">
                  <c:v>0.375</c:v>
                </c:pt>
                <c:pt idx="3">
                  <c:v>0.75</c:v>
                </c:pt>
                <c:pt idx="4">
                  <c:v>1.25</c:v>
                </c:pt>
                <c:pt idx="5">
                  <c:v>1.875</c:v>
                </c:pt>
                <c:pt idx="6">
                  <c:v>2.625</c:v>
                </c:pt>
                <c:pt idx="7">
                  <c:v>3.5</c:v>
                </c:pt>
                <c:pt idx="8">
                  <c:v>4.5</c:v>
                </c:pt>
                <c:pt idx="9">
                  <c:v>5.625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Sheet1!$E$4:$E$13</c:f>
              <c:numCache>
                <c:formatCode>General</c:formatCode>
                <c:ptCount val="1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</c:numCache>
            </c:numRef>
          </c:xVal>
          <c:yVal>
            <c:numRef>
              <c:f>Sheet1!$J$4:$J$13</c:f>
              <c:numCache>
                <c:formatCode>General</c:formatCode>
                <c:ptCount val="10"/>
                <c:pt idx="0">
                  <c:v>6.25E-2</c:v>
                </c:pt>
                <c:pt idx="1">
                  <c:v>0.25</c:v>
                </c:pt>
                <c:pt idx="2">
                  <c:v>0.5625</c:v>
                </c:pt>
                <c:pt idx="3">
                  <c:v>1</c:v>
                </c:pt>
                <c:pt idx="4">
                  <c:v>1.5625</c:v>
                </c:pt>
                <c:pt idx="5">
                  <c:v>2.25</c:v>
                </c:pt>
                <c:pt idx="6">
                  <c:v>3.0625</c:v>
                </c:pt>
                <c:pt idx="7">
                  <c:v>4</c:v>
                </c:pt>
                <c:pt idx="8">
                  <c:v>5.0625</c:v>
                </c:pt>
                <c:pt idx="9">
                  <c:v>6.25</c:v>
                </c:pt>
              </c:numCache>
            </c:numRef>
          </c:yVal>
        </c:ser>
        <c:axId val="54712576"/>
        <c:axId val="54714368"/>
      </c:scatterChart>
      <c:valAx>
        <c:axId val="54712576"/>
        <c:scaling>
          <c:orientation val="minMax"/>
        </c:scaling>
        <c:axPos val="b"/>
        <c:numFmt formatCode="General" sourceLinked="1"/>
        <c:tickLblPos val="nextTo"/>
        <c:crossAx val="54714368"/>
        <c:crosses val="autoZero"/>
        <c:crossBetween val="midCat"/>
      </c:valAx>
      <c:valAx>
        <c:axId val="54714368"/>
        <c:scaling>
          <c:orientation val="minMax"/>
        </c:scaling>
        <c:axPos val="l"/>
        <c:majorGridlines/>
        <c:numFmt formatCode="General" sourceLinked="1"/>
        <c:tickLblPos val="nextTo"/>
        <c:crossAx val="54712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57179520"/>
        <c:axId val="57242752"/>
      </c:lineChart>
      <c:catAx>
        <c:axId val="57179520"/>
        <c:scaling>
          <c:orientation val="minMax"/>
        </c:scaling>
        <c:axPos val="b"/>
        <c:tickLblPos val="nextTo"/>
        <c:crossAx val="57242752"/>
        <c:crosses val="autoZero"/>
        <c:auto val="1"/>
        <c:lblAlgn val="ctr"/>
        <c:lblOffset val="100"/>
      </c:catAx>
      <c:valAx>
        <c:axId val="57242752"/>
        <c:scaling>
          <c:orientation val="minMax"/>
        </c:scaling>
        <c:axPos val="l"/>
        <c:majorGridlines/>
        <c:tickLblPos val="nextTo"/>
        <c:crossAx val="5717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33618</xdr:colOff>
      <xdr:row>2</xdr:row>
      <xdr:rowOff>649942</xdr:rowOff>
    </xdr:from>
    <xdr:to>
      <xdr:col>22</xdr:col>
      <xdr:colOff>560294</xdr:colOff>
      <xdr:row>16</xdr:row>
      <xdr:rowOff>156883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22413</xdr:colOff>
      <xdr:row>24</xdr:row>
      <xdr:rowOff>89648</xdr:rowOff>
    </xdr:from>
    <xdr:to>
      <xdr:col>19</xdr:col>
      <xdr:colOff>549088</xdr:colOff>
      <xdr:row>35</xdr:row>
      <xdr:rowOff>22412</xdr:rowOff>
    </xdr:to>
    <xdr:sp macro="" textlink="">
      <xdr:nvSpPr>
        <xdr:cNvPr id="5" name="Right Triangle 4"/>
        <xdr:cNvSpPr/>
      </xdr:nvSpPr>
      <xdr:spPr>
        <a:xfrm>
          <a:off x="7978589" y="5233148"/>
          <a:ext cx="3361764" cy="2028264"/>
        </a:xfrm>
        <a:prstGeom prst="rtTriangl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82909</xdr:colOff>
      <xdr:row>23</xdr:row>
      <xdr:rowOff>48550</xdr:rowOff>
    </xdr:from>
    <xdr:to>
      <xdr:col>14</xdr:col>
      <xdr:colOff>752272</xdr:colOff>
      <xdr:row>25</xdr:row>
      <xdr:rowOff>48550</xdr:rowOff>
    </xdr:to>
    <xdr:sp macro="" textlink="">
      <xdr:nvSpPr>
        <xdr:cNvPr id="6" name="Rectangle 5"/>
        <xdr:cNvSpPr/>
      </xdr:nvSpPr>
      <xdr:spPr>
        <a:xfrm rot="1631930">
          <a:off x="7983056" y="5001550"/>
          <a:ext cx="669363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2</xdr:row>
      <xdr:rowOff>104775</xdr:rowOff>
    </xdr:from>
    <xdr:to>
      <xdr:col>13</xdr:col>
      <xdr:colOff>219075</xdr:colOff>
      <xdr:row>16</xdr:row>
      <xdr:rowOff>180975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43"/>
  <sheetViews>
    <sheetView tabSelected="1" topLeftCell="D19" zoomScale="85" zoomScaleNormal="85" workbookViewId="0">
      <selection activeCell="T36" sqref="T36"/>
    </sheetView>
  </sheetViews>
  <sheetFormatPr defaultRowHeight="15"/>
  <cols>
    <col min="1" max="3" width="9.140625" hidden="1" customWidth="1"/>
    <col min="4" max="6" width="9.140625" style="1"/>
    <col min="7" max="7" width="15.5703125" style="3" customWidth="1"/>
    <col min="8" max="8" width="12.140625" style="1" customWidth="1"/>
    <col min="9" max="9" width="9.140625" hidden="1" customWidth="1"/>
    <col min="10" max="10" width="15.42578125" style="1" customWidth="1"/>
    <col min="11" max="11" width="15.42578125" customWidth="1"/>
    <col min="12" max="12" width="14.42578125" style="1" customWidth="1"/>
    <col min="13" max="13" width="9.140625" style="1" customWidth="1"/>
    <col min="14" max="14" width="9.140625" customWidth="1"/>
    <col min="15" max="15" width="15.140625" customWidth="1"/>
    <col min="16" max="16" width="11" customWidth="1"/>
    <col min="17" max="17" width="8.28515625" customWidth="1"/>
  </cols>
  <sheetData>
    <row r="1" spans="1:45">
      <c r="A1">
        <v>11</v>
      </c>
    </row>
    <row r="3" spans="1:45" s="2" customFormat="1" ht="60">
      <c r="D3" s="3" t="s">
        <v>8</v>
      </c>
      <c r="E3" s="3" t="s">
        <v>9</v>
      </c>
      <c r="F3" s="3" t="s">
        <v>3</v>
      </c>
      <c r="G3" s="3" t="s">
        <v>7</v>
      </c>
      <c r="H3" s="4" t="s">
        <v>11</v>
      </c>
      <c r="J3" s="4" t="s">
        <v>10</v>
      </c>
      <c r="K3" s="4" t="s">
        <v>12</v>
      </c>
      <c r="L3" s="3"/>
      <c r="M3" s="3"/>
    </row>
    <row r="4" spans="1:45">
      <c r="B4">
        <v>0.25</v>
      </c>
      <c r="D4" s="1">
        <v>1</v>
      </c>
      <c r="E4" s="1">
        <v>0.25</v>
      </c>
      <c r="F4" s="1">
        <v>0.5</v>
      </c>
      <c r="G4" s="3">
        <v>0.125</v>
      </c>
      <c r="H4" s="1">
        <v>0</v>
      </c>
      <c r="J4" s="1">
        <v>6.25E-2</v>
      </c>
    </row>
    <row r="5" spans="1:45">
      <c r="D5" s="1">
        <v>2</v>
      </c>
      <c r="E5" s="1">
        <v>0.5</v>
      </c>
      <c r="F5" s="1">
        <v>1</v>
      </c>
      <c r="G5" s="3">
        <v>0.25</v>
      </c>
      <c r="H5" s="1">
        <v>0.125</v>
      </c>
      <c r="J5" s="1">
        <v>0.25</v>
      </c>
    </row>
    <row r="6" spans="1:45">
      <c r="D6" s="1">
        <v>3</v>
      </c>
      <c r="E6" s="1">
        <v>0.75</v>
      </c>
      <c r="F6" s="1">
        <v>1.5</v>
      </c>
      <c r="G6" s="3">
        <v>0.375</v>
      </c>
      <c r="H6" s="1">
        <v>0.375</v>
      </c>
      <c r="J6" s="1">
        <v>0.5625</v>
      </c>
      <c r="O6" s="1"/>
      <c r="P6" s="1"/>
      <c r="Q6" s="1"/>
    </row>
    <row r="7" spans="1:45">
      <c r="D7" s="1">
        <v>4</v>
      </c>
      <c r="E7" s="1">
        <v>1</v>
      </c>
      <c r="F7" s="1">
        <v>2</v>
      </c>
      <c r="G7" s="3">
        <v>0.5</v>
      </c>
      <c r="H7" s="1">
        <v>0.75</v>
      </c>
      <c r="J7" s="1">
        <v>1</v>
      </c>
    </row>
    <row r="8" spans="1:45">
      <c r="D8" s="1">
        <v>5</v>
      </c>
      <c r="E8" s="1">
        <v>1.25</v>
      </c>
      <c r="F8" s="1">
        <v>2.5</v>
      </c>
      <c r="G8" s="3">
        <v>0.625</v>
      </c>
      <c r="H8" s="1">
        <v>1.25</v>
      </c>
      <c r="J8" s="1">
        <v>1.5625</v>
      </c>
      <c r="L8" s="1" t="s">
        <v>6</v>
      </c>
      <c r="M8" s="1">
        <v>0</v>
      </c>
    </row>
    <row r="9" spans="1:45">
      <c r="D9" s="1">
        <v>6</v>
      </c>
      <c r="E9" s="1">
        <v>1.5</v>
      </c>
      <c r="F9" s="1">
        <v>3</v>
      </c>
      <c r="G9" s="3">
        <v>0.75</v>
      </c>
      <c r="H9" s="1">
        <v>1.875</v>
      </c>
      <c r="J9" s="1">
        <v>2.25</v>
      </c>
      <c r="L9" s="1" t="s">
        <v>5</v>
      </c>
      <c r="M9" s="1">
        <v>0</v>
      </c>
    </row>
    <row r="10" spans="1:45">
      <c r="D10" s="1">
        <v>7</v>
      </c>
      <c r="E10" s="1">
        <v>1.75</v>
      </c>
      <c r="F10" s="1">
        <v>3.5</v>
      </c>
      <c r="G10" s="3">
        <v>0.875</v>
      </c>
      <c r="H10" s="1">
        <v>2.625</v>
      </c>
      <c r="J10" s="1">
        <v>3.0625</v>
      </c>
      <c r="L10" s="1" t="s">
        <v>0</v>
      </c>
      <c r="M10" s="1">
        <v>0</v>
      </c>
    </row>
    <row r="11" spans="1:45">
      <c r="A11">
        <v>7</v>
      </c>
      <c r="D11" s="1">
        <v>8</v>
      </c>
      <c r="E11" s="1">
        <v>2</v>
      </c>
      <c r="F11" s="1">
        <v>4</v>
      </c>
      <c r="G11" s="3">
        <v>1</v>
      </c>
      <c r="H11" s="1">
        <v>3.5</v>
      </c>
      <c r="J11" s="1">
        <v>4</v>
      </c>
      <c r="L11" s="1" t="s">
        <v>1</v>
      </c>
      <c r="M11" s="1">
        <v>10</v>
      </c>
    </row>
    <row r="12" spans="1:45">
      <c r="A12">
        <v>23</v>
      </c>
      <c r="D12" s="1">
        <v>9</v>
      </c>
      <c r="E12" s="1">
        <v>2.25</v>
      </c>
      <c r="F12" s="1">
        <v>4.5</v>
      </c>
      <c r="G12" s="3">
        <v>1.125</v>
      </c>
      <c r="H12" s="1">
        <v>4.5</v>
      </c>
      <c r="J12" s="1">
        <v>5.0625</v>
      </c>
      <c r="L12" s="1" t="s">
        <v>2</v>
      </c>
      <c r="M12" s="1">
        <v>40</v>
      </c>
      <c r="AS12">
        <v>122</v>
      </c>
    </row>
    <row r="13" spans="1:45">
      <c r="D13" s="1">
        <v>10</v>
      </c>
      <c r="E13" s="1">
        <v>2.5</v>
      </c>
      <c r="F13" s="1">
        <v>5</v>
      </c>
      <c r="G13" s="3">
        <v>1.25</v>
      </c>
      <c r="H13" s="1">
        <v>5.625</v>
      </c>
      <c r="J13" s="1">
        <v>6.25</v>
      </c>
    </row>
    <row r="14" spans="1:45">
      <c r="A14">
        <v>4</v>
      </c>
      <c r="D14" s="1">
        <v>11</v>
      </c>
      <c r="E14" s="1">
        <v>2.75</v>
      </c>
      <c r="F14" s="1">
        <v>5.5</v>
      </c>
      <c r="G14" s="3">
        <v>1.375</v>
      </c>
      <c r="H14" s="1">
        <v>6.875</v>
      </c>
      <c r="J14" s="1">
        <v>7.5625</v>
      </c>
      <c r="L14" s="1" t="s">
        <v>4</v>
      </c>
      <c r="M14" s="1">
        <v>2</v>
      </c>
    </row>
    <row r="15" spans="1:45">
      <c r="D15" s="1">
        <v>12</v>
      </c>
      <c r="E15" s="1">
        <v>3</v>
      </c>
      <c r="F15" s="1">
        <v>6</v>
      </c>
      <c r="G15" s="3">
        <v>1.5</v>
      </c>
      <c r="H15" s="1">
        <v>8.25</v>
      </c>
      <c r="J15" s="1">
        <v>9</v>
      </c>
    </row>
    <row r="16" spans="1:45">
      <c r="D16" s="1">
        <v>13</v>
      </c>
      <c r="E16" s="1">
        <v>3.25</v>
      </c>
      <c r="F16" s="1">
        <v>6.5</v>
      </c>
      <c r="G16" s="3">
        <v>1.625</v>
      </c>
      <c r="H16" s="1">
        <v>9.75</v>
      </c>
      <c r="J16" s="1">
        <v>10.5625</v>
      </c>
    </row>
    <row r="17" spans="4:12">
      <c r="D17" s="1">
        <v>14</v>
      </c>
      <c r="E17" s="1">
        <v>3.5</v>
      </c>
      <c r="F17" s="1">
        <v>7</v>
      </c>
      <c r="G17" s="3">
        <v>1.75</v>
      </c>
      <c r="H17" s="1">
        <v>11.375</v>
      </c>
      <c r="J17" s="1">
        <v>12.25</v>
      </c>
    </row>
    <row r="18" spans="4:12">
      <c r="D18" s="1">
        <v>15</v>
      </c>
      <c r="E18" s="1">
        <v>3.75</v>
      </c>
      <c r="F18" s="1">
        <v>7.5</v>
      </c>
      <c r="G18" s="3">
        <v>1.875</v>
      </c>
      <c r="H18" s="1">
        <v>13.125</v>
      </c>
      <c r="J18" s="1">
        <v>14.0625</v>
      </c>
    </row>
    <row r="19" spans="4:12">
      <c r="D19" s="1">
        <v>16</v>
      </c>
      <c r="E19" s="1">
        <v>4</v>
      </c>
      <c r="F19" s="1">
        <v>8</v>
      </c>
      <c r="G19" s="3">
        <v>2</v>
      </c>
      <c r="H19" s="1">
        <v>15</v>
      </c>
      <c r="J19" s="1">
        <v>16</v>
      </c>
    </row>
    <row r="20" spans="4:12">
      <c r="D20" s="1">
        <v>17</v>
      </c>
      <c r="E20" s="1">
        <v>4.25</v>
      </c>
      <c r="F20" s="1">
        <v>8.5</v>
      </c>
      <c r="G20" s="3">
        <v>2.125</v>
      </c>
      <c r="H20" s="1">
        <v>17</v>
      </c>
      <c r="J20" s="1">
        <v>18.0625</v>
      </c>
    </row>
    <row r="21" spans="4:12">
      <c r="D21" s="1">
        <v>18</v>
      </c>
      <c r="E21" s="1">
        <v>4.5</v>
      </c>
      <c r="F21" s="1">
        <v>9</v>
      </c>
      <c r="G21" s="3">
        <v>2.25</v>
      </c>
      <c r="H21" s="1">
        <v>19.125</v>
      </c>
      <c r="J21" s="1">
        <v>20.25</v>
      </c>
    </row>
    <row r="22" spans="4:12">
      <c r="D22" s="1">
        <v>19</v>
      </c>
      <c r="E22" s="1">
        <v>4.75</v>
      </c>
      <c r="F22" s="1">
        <v>9.5</v>
      </c>
      <c r="G22" s="3">
        <v>2.375</v>
      </c>
      <c r="H22" s="1">
        <v>21.375</v>
      </c>
      <c r="J22" s="1">
        <v>22.5625</v>
      </c>
    </row>
    <row r="23" spans="4:12">
      <c r="D23" s="1">
        <v>20</v>
      </c>
      <c r="E23" s="1">
        <v>5</v>
      </c>
      <c r="F23" s="1">
        <v>10</v>
      </c>
      <c r="G23" s="3">
        <v>2.5</v>
      </c>
      <c r="H23" s="1">
        <v>23.75</v>
      </c>
      <c r="J23" s="1">
        <v>25</v>
      </c>
    </row>
    <row r="24" spans="4:12">
      <c r="D24" s="1">
        <v>21</v>
      </c>
      <c r="E24" s="1">
        <v>5.25</v>
      </c>
      <c r="F24" s="1">
        <v>10.5</v>
      </c>
      <c r="G24" s="3">
        <v>2.625</v>
      </c>
      <c r="H24" s="1">
        <v>26.25</v>
      </c>
      <c r="J24" s="1">
        <v>27.5625</v>
      </c>
    </row>
    <row r="25" spans="4:12">
      <c r="D25" s="1">
        <v>22</v>
      </c>
      <c r="E25" s="1">
        <v>5.5</v>
      </c>
      <c r="F25" s="1">
        <v>11</v>
      </c>
      <c r="G25" s="3">
        <v>2.75</v>
      </c>
      <c r="H25" s="1">
        <v>28.875</v>
      </c>
      <c r="J25" s="1">
        <v>30.25</v>
      </c>
    </row>
    <row r="26" spans="4:12">
      <c r="D26" s="1">
        <v>23</v>
      </c>
      <c r="E26" s="1">
        <v>5.75</v>
      </c>
      <c r="F26" s="1">
        <v>11.5</v>
      </c>
      <c r="G26" s="3">
        <v>2.875</v>
      </c>
      <c r="H26" s="1">
        <v>31.625</v>
      </c>
      <c r="J26" s="1">
        <v>33.0625</v>
      </c>
    </row>
    <row r="27" spans="4:12">
      <c r="D27" s="1">
        <v>24</v>
      </c>
      <c r="E27" s="1">
        <v>6</v>
      </c>
      <c r="F27" s="1">
        <v>12</v>
      </c>
      <c r="G27" s="3">
        <v>3</v>
      </c>
      <c r="H27" s="1">
        <v>34.5</v>
      </c>
      <c r="J27" s="1">
        <v>36</v>
      </c>
    </row>
    <row r="28" spans="4:12">
      <c r="D28" s="1">
        <v>25</v>
      </c>
      <c r="E28" s="1">
        <v>6.25</v>
      </c>
      <c r="F28" s="1">
        <v>12.5</v>
      </c>
      <c r="G28" s="3">
        <v>3.125</v>
      </c>
      <c r="H28" s="1">
        <v>37.5</v>
      </c>
      <c r="J28" s="1">
        <v>39.0625</v>
      </c>
    </row>
    <row r="29" spans="4:12">
      <c r="D29" s="1">
        <v>26</v>
      </c>
      <c r="E29" s="1">
        <v>6.5</v>
      </c>
      <c r="F29" s="1">
        <v>13</v>
      </c>
      <c r="G29" s="3">
        <v>3.25</v>
      </c>
      <c r="H29" s="1">
        <v>40.625</v>
      </c>
      <c r="J29" s="1">
        <v>42.25</v>
      </c>
    </row>
    <row r="30" spans="4:12">
      <c r="D30" s="1">
        <v>27</v>
      </c>
      <c r="E30" s="1">
        <v>6.75</v>
      </c>
      <c r="F30" s="1">
        <v>13.5</v>
      </c>
      <c r="G30" s="3">
        <v>3.375</v>
      </c>
      <c r="H30" s="1">
        <v>43.875</v>
      </c>
      <c r="J30" s="1">
        <v>45.5625</v>
      </c>
      <c r="L30" s="1">
        <v>728.58709716796875</v>
      </c>
    </row>
    <row r="31" spans="4:12">
      <c r="D31" s="1">
        <v>28</v>
      </c>
      <c r="E31" s="1">
        <v>7</v>
      </c>
      <c r="F31" s="1">
        <v>14</v>
      </c>
      <c r="G31" s="3">
        <v>3.5</v>
      </c>
      <c r="H31" s="1">
        <v>47.25</v>
      </c>
      <c r="J31" s="1">
        <v>49</v>
      </c>
    </row>
    <row r="32" spans="4:12">
      <c r="D32" s="1">
        <v>29</v>
      </c>
      <c r="E32" s="1">
        <v>7.25</v>
      </c>
      <c r="F32" s="1">
        <v>14.5</v>
      </c>
      <c r="G32" s="3">
        <v>3.625</v>
      </c>
      <c r="H32" s="1">
        <v>50.75</v>
      </c>
      <c r="J32" s="1">
        <v>52.5625</v>
      </c>
    </row>
    <row r="33" spans="4:16">
      <c r="D33" s="1">
        <v>30</v>
      </c>
      <c r="E33" s="1">
        <v>7.5</v>
      </c>
      <c r="F33" s="1">
        <v>15</v>
      </c>
      <c r="G33" s="3">
        <v>3.75</v>
      </c>
      <c r="H33" s="1">
        <v>54.375</v>
      </c>
      <c r="J33" s="1">
        <v>56.25</v>
      </c>
    </row>
    <row r="34" spans="4:16">
      <c r="D34" s="1">
        <v>31</v>
      </c>
      <c r="E34" s="1">
        <v>7.75</v>
      </c>
      <c r="F34" s="1">
        <v>15.5</v>
      </c>
      <c r="G34" s="3">
        <v>3.875</v>
      </c>
      <c r="H34" s="1">
        <v>58.125</v>
      </c>
      <c r="J34" s="1">
        <v>60.0625</v>
      </c>
    </row>
    <row r="35" spans="4:16">
      <c r="D35" s="1">
        <v>32</v>
      </c>
      <c r="E35" s="1">
        <v>8</v>
      </c>
      <c r="F35" s="1">
        <v>16</v>
      </c>
      <c r="G35" s="3">
        <v>4</v>
      </c>
      <c r="H35" s="1">
        <v>62</v>
      </c>
      <c r="J35" s="1">
        <v>64</v>
      </c>
    </row>
    <row r="36" spans="4:16">
      <c r="D36" s="1">
        <v>33</v>
      </c>
      <c r="E36" s="1">
        <v>8.25</v>
      </c>
      <c r="F36" s="1">
        <v>16.5</v>
      </c>
      <c r="G36" s="3">
        <v>4.125</v>
      </c>
      <c r="H36" s="1">
        <v>66</v>
      </c>
      <c r="J36" s="1">
        <v>68.0625</v>
      </c>
    </row>
    <row r="37" spans="4:16">
      <c r="D37" s="1">
        <v>34</v>
      </c>
      <c r="E37" s="1">
        <v>8.5</v>
      </c>
      <c r="F37" s="1">
        <v>17</v>
      </c>
      <c r="G37" s="3">
        <v>4.25</v>
      </c>
      <c r="H37" s="1">
        <v>70.125</v>
      </c>
      <c r="J37" s="1">
        <v>72.25</v>
      </c>
    </row>
    <row r="38" spans="4:16">
      <c r="D38" s="1">
        <v>35</v>
      </c>
      <c r="E38" s="1">
        <v>8.75</v>
      </c>
      <c r="F38" s="1">
        <v>17.5</v>
      </c>
      <c r="G38" s="3">
        <v>4.375</v>
      </c>
      <c r="H38" s="1">
        <v>74.375</v>
      </c>
      <c r="J38" s="1">
        <v>76.5625</v>
      </c>
    </row>
    <row r="39" spans="4:16">
      <c r="D39" s="1">
        <v>36</v>
      </c>
      <c r="E39" s="1">
        <v>9</v>
      </c>
      <c r="F39" s="1">
        <v>18</v>
      </c>
      <c r="G39" s="3">
        <v>4.5</v>
      </c>
      <c r="H39" s="1">
        <v>78.75</v>
      </c>
      <c r="J39" s="1">
        <v>81</v>
      </c>
    </row>
    <row r="40" spans="4:16">
      <c r="D40" s="1">
        <v>37</v>
      </c>
      <c r="E40" s="1">
        <v>9.25</v>
      </c>
      <c r="F40" s="1">
        <v>18.5</v>
      </c>
      <c r="G40" s="3">
        <v>4.625</v>
      </c>
      <c r="H40" s="1">
        <v>83.25</v>
      </c>
      <c r="J40" s="1">
        <v>85.5625</v>
      </c>
      <c r="L40" s="5" t="s">
        <v>14</v>
      </c>
      <c r="M40" s="1">
        <v>632.9405517578125</v>
      </c>
      <c r="N40">
        <v>394.41134643554687</v>
      </c>
    </row>
    <row r="41" spans="4:16">
      <c r="D41" s="1">
        <v>38</v>
      </c>
      <c r="E41" s="1">
        <v>9.5</v>
      </c>
      <c r="F41" s="1">
        <v>19</v>
      </c>
      <c r="G41" s="3">
        <v>4.75</v>
      </c>
      <c r="H41" s="1">
        <v>87.875</v>
      </c>
      <c r="J41" s="1">
        <v>90.25</v>
      </c>
      <c r="L41" s="5"/>
    </row>
    <row r="42" spans="4:16">
      <c r="D42" s="1">
        <v>39</v>
      </c>
      <c r="E42" s="1">
        <v>9.75</v>
      </c>
      <c r="F42" s="1">
        <v>19.5</v>
      </c>
      <c r="G42" s="3">
        <v>4.875</v>
      </c>
      <c r="H42" s="1">
        <v>92.625</v>
      </c>
      <c r="J42" s="1">
        <v>95.0625</v>
      </c>
      <c r="O42" t="s">
        <v>13</v>
      </c>
      <c r="P42">
        <v>734.99945068359375</v>
      </c>
    </row>
    <row r="43" spans="4:16">
      <c r="D43" s="1">
        <v>40</v>
      </c>
      <c r="E43" s="1">
        <v>10</v>
      </c>
      <c r="F43" s="1">
        <v>20</v>
      </c>
      <c r="G43" s="3">
        <v>5</v>
      </c>
      <c r="H43" s="1">
        <v>97.5</v>
      </c>
      <c r="J43" s="1">
        <v>100</v>
      </c>
      <c r="K43">
        <f>(J43-H43)/J43*100%</f>
        <v>2.5000000000000001E-2</v>
      </c>
    </row>
  </sheetData>
  <pageMargins left="0.7" right="0.7" top="0.75" bottom="0.75" header="0.3" footer="0.3"/>
  <pageSetup orientation="portrait" horizontalDpi="4294967293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5:D14"/>
  <sheetViews>
    <sheetView topLeftCell="A7" workbookViewId="0">
      <selection activeCell="L18" sqref="L18"/>
    </sheetView>
  </sheetViews>
  <sheetFormatPr defaultRowHeight="15"/>
  <sheetData>
    <row r="5" spans="3:4">
      <c r="C5">
        <v>1</v>
      </c>
      <c r="D5">
        <v>2</v>
      </c>
    </row>
    <row r="6" spans="3:4">
      <c r="C6">
        <f>C5+1</f>
        <v>2</v>
      </c>
      <c r="D6">
        <f>D5 +12</f>
        <v>14</v>
      </c>
    </row>
    <row r="7" spans="3:4">
      <c r="C7">
        <f t="shared" ref="C7:C14" si="0">C6+1</f>
        <v>3</v>
      </c>
      <c r="D7">
        <f t="shared" ref="D7:D14" si="1">D6 +12</f>
        <v>26</v>
      </c>
    </row>
    <row r="8" spans="3:4">
      <c r="C8">
        <f t="shared" si="0"/>
        <v>4</v>
      </c>
      <c r="D8">
        <f t="shared" si="1"/>
        <v>38</v>
      </c>
    </row>
    <row r="9" spans="3:4">
      <c r="C9">
        <f t="shared" si="0"/>
        <v>5</v>
      </c>
      <c r="D9">
        <f t="shared" si="1"/>
        <v>50</v>
      </c>
    </row>
    <row r="10" spans="3:4">
      <c r="C10">
        <f t="shared" si="0"/>
        <v>6</v>
      </c>
      <c r="D10">
        <f t="shared" si="1"/>
        <v>62</v>
      </c>
    </row>
    <row r="11" spans="3:4">
      <c r="C11">
        <f t="shared" si="0"/>
        <v>7</v>
      </c>
      <c r="D11">
        <f t="shared" si="1"/>
        <v>74</v>
      </c>
    </row>
    <row r="12" spans="3:4">
      <c r="C12">
        <f t="shared" si="0"/>
        <v>8</v>
      </c>
      <c r="D12">
        <f t="shared" si="1"/>
        <v>86</v>
      </c>
    </row>
    <row r="13" spans="3:4">
      <c r="C13">
        <f t="shared" si="0"/>
        <v>9</v>
      </c>
      <c r="D13">
        <f t="shared" si="1"/>
        <v>98</v>
      </c>
    </row>
    <row r="14" spans="3:4">
      <c r="C14">
        <f t="shared" si="0"/>
        <v>10</v>
      </c>
      <c r="D14">
        <f t="shared" si="1"/>
        <v>110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G6"/>
  <sheetViews>
    <sheetView workbookViewId="0">
      <selection activeCell="B25" sqref="B25"/>
    </sheetView>
  </sheetViews>
  <sheetFormatPr defaultRowHeight="15"/>
  <sheetData>
    <row r="6" spans="7:7">
      <c r="G6">
        <v>12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fjr66</dc:creator>
  <cp:lastModifiedBy>fjr66</cp:lastModifiedBy>
  <dcterms:created xsi:type="dcterms:W3CDTF">2014-04-25T15:44:56Z</dcterms:created>
  <dcterms:modified xsi:type="dcterms:W3CDTF">2014-05-03T14:27:49Z</dcterms:modified>
</cp:coreProperties>
</file>